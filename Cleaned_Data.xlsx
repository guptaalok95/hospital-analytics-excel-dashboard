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jitg\Downloads\Hospital_Emergence_Final_dataset\"/>
    </mc:Choice>
  </mc:AlternateContent>
  <xr:revisionPtr revIDLastSave="0" documentId="13_ncr:1_{D7D4DE0B-CA12-4FB7-8D4A-A0EA7ECA10E6}" xr6:coauthVersionLast="47" xr6:coauthVersionMax="47" xr10:uidLastSave="{00000000-0000-0000-0000-000000000000}"/>
  <bookViews>
    <workbookView xWindow="-110" yWindow="-110" windowWidth="19420" windowHeight="10300" activeTab="1" xr2:uid="{B608D2AD-4B06-4D01-8548-236ACEC48447}"/>
  </bookViews>
  <sheets>
    <sheet name="Pivot Table" sheetId="1" r:id="rId1"/>
    <sheet name="Dashboard" sheetId="3" r:id="rId2"/>
    <sheet name="Daily Emr no of Patient" sheetId="7"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c8c2bba-f4d6-493c-bae6-15df8c905cf6" name="Hospital Emergency Room Data" connection="Query - Hospital Emergency Room Data"/>
          <x15:modelTable id="Calender_a31da545-e5a8-4452-8772-6a79dfc29f07"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1" l="1"/>
  <c r="L14" i="1"/>
  <c r="M14" i="1"/>
  <c r="N14" i="1"/>
  <c r="M15" i="1"/>
  <c r="N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AC8737-E9D5-4B1D-951B-4527F415C0A1}" name="Query - Calender" description="Connection to the 'Calender' query in the workbook." type="100" refreshedVersion="8" minRefreshableVersion="5">
    <extLst>
      <ext xmlns:x15="http://schemas.microsoft.com/office/spreadsheetml/2010/11/main" uri="{DE250136-89BD-433C-8126-D09CA5730AF9}">
        <x15:connection id="fed117e8-5121-40ec-9d7a-904f0f05a673"/>
      </ext>
    </extLst>
  </connection>
  <connection id="2" xr16:uid="{A3021AED-EC41-4284-AA58-DE64B86B37F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28fcf02-d8fd-4918-92fd-945a592e4f4d"/>
      </ext>
    </extLst>
  </connection>
  <connection id="3" xr16:uid="{6BC4B54F-ED9C-4BED-A983-65625819C0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<sst xmlns="http://schemas.openxmlformats.org/spreadsheetml/2006/main" count="1167" uniqueCount="424">
  <si>
    <t>Grand Total</t>
  </si>
  <si>
    <t>Count of Patient Id</t>
  </si>
  <si>
    <t>=Sheet1!Sheet3!$C$6("[Measures].[Distinct Count of Patient Id]",Sheet1!$A$4)</t>
  </si>
  <si>
    <t>No of Patient</t>
  </si>
  <si>
    <t>Patient Satisfaction Score</t>
  </si>
  <si>
    <t>Average Wait Time</t>
  </si>
  <si>
    <t>Date (Day)</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</si>
  <si>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</si>
  <si>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</si>
  <si>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</si>
  <si>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</si>
  <si>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</si>
  <si>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</si>
  <si>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</si>
  <si>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</si>
  <si>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</si>
  <si>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</si>
  <si>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</si>
  <si>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</si>
  <si>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</si>
  <si>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</si>
  <si>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</si>
  <si>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</si>
  <si>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</si>
  <si>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</si>
  <si>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</si>
  <si>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</si>
  <si>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</si>
  <si>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</si>
  <si>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</si>
  <si>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</si>
  <si>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</si>
  <si>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</si>
  <si>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</si>
  <si>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</si>
  <si>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</si>
  <si>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</si>
  <si>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</si>
  <si>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Daily ER Number of Patient'!A1</t>
  </si>
  <si>
    <t>Daily Trends of Number of Patient</t>
  </si>
  <si>
    <t>Average of Patient Waittime</t>
  </si>
  <si>
    <t>Average of Patient Satisfaction Score</t>
  </si>
  <si>
    <t>Satisfaction Scroe of Patient</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</si>
  <si>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</si>
  <si>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</si>
  <si>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</si>
  <si>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</si>
  <si>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</si>
  <si>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</si>
  <si>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</si>
  <si>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</si>
  <si>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</si>
  <si>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</si>
  <si>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</si>
  <si>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</si>
  <si>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</si>
  <si>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</si>
  <si>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</si>
  <si>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</si>
  <si>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</si>
  <si>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</si>
  <si>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</si>
  <si>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</si>
  <si>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</si>
  <si>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</si>
  <si>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</si>
  <si>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</si>
  <si>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</si>
  <si>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</si>
  <si>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</si>
  <si>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</si>
  <si>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</si>
  <si>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</si>
  <si>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</si>
  <si>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</si>
  <si>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</si>
  <si>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</si>
  <si>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</si>
  <si>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</si>
  <si>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</si>
  <si>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</si>
  <si>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</si>
  <si>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</si>
  <si>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</si>
  <si>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</si>
  <si>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</si>
  <si>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</si>
  <si>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</si>
  <si>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</si>
  <si>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</si>
  <si>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</si>
  <si>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</si>
  <si>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</si>
  <si>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</si>
  <si>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</si>
  <si>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</si>
  <si>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</si>
  <si>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</si>
  <si>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</si>
  <si>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</si>
  <si>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</si>
  <si>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</si>
  <si>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</si>
  <si>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</si>
  <si>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</si>
  <si>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</si>
  <si>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</si>
  <si>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</si>
  <si>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</si>
  <si>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</si>
  <si>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</si>
  <si>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</si>
  <si>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</si>
  <si>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</si>
  <si>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</si>
  <si>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</si>
  <si>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</si>
  <si>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</si>
  <si>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</si>
  <si>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</si>
  <si>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</si>
  <si>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</si>
  <si>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</si>
  <si>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</si>
  <si>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</si>
  <si>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</si>
  <si>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</si>
  <si>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</si>
  <si>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</si>
  <si>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</si>
  <si>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</si>
  <si>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</si>
  <si>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</si>
  <si>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</si>
  <si>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</si>
  <si>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</si>
  <si>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</si>
  <si>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</si>
  <si>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</si>
  <si>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</si>
  <si>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</si>
  <si>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</si>
  <si>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</si>
  <si>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</si>
  <si>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</si>
  <si>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</si>
  <si>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</si>
  <si>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</si>
  <si>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</si>
  <si>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</si>
  <si>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</si>
  <si>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</si>
  <si>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</si>
  <si>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</si>
  <si>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</si>
  <si>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</si>
  <si>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</si>
  <si>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</si>
  <si>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</si>
  <si>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</si>
  <si>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</si>
  <si>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</si>
  <si>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</si>
  <si>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</si>
  <si>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</si>
  <si>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</si>
  <si>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</si>
  <si>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</si>
  <si>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</si>
  <si>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</si>
  <si>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</si>
  <si>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</si>
  <si>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</si>
  <si>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</si>
  <si>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</si>
  <si>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</si>
  <si>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</si>
  <si>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</si>
  <si>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</si>
  <si>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</si>
  <si>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</si>
  <si>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</si>
  <si>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</si>
  <si>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</si>
  <si>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</si>
  <si>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</si>
  <si>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</si>
  <si>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</si>
  <si>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</si>
  <si>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</si>
  <si>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</si>
  <si>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</si>
  <si>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</si>
  <si>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</si>
  <si>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</si>
  <si>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</si>
  <si>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</si>
  <si>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</si>
  <si>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</si>
  <si>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</si>
  <si>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</si>
  <si>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</si>
  <si>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</si>
  <si>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</si>
  <si>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</si>
  <si>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</si>
  <si>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</si>
  <si>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</si>
  <si>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</si>
  <si>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</si>
  <si>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</si>
  <si>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</si>
  <si>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</si>
  <si>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</si>
  <si>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</si>
  <si>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</si>
  <si>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</si>
  <si>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</si>
  <si>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</si>
  <si>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</si>
  <si>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</si>
  <si>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</si>
  <si>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</si>
  <si>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</si>
  <si>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</si>
  <si>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</si>
  <si>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</si>
  <si>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</si>
  <si>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</si>
  <si>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</si>
  <si>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</si>
  <si>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</si>
  <si>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</si>
  <si>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</si>
  <si>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</si>
  <si>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</si>
  <si>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</si>
  <si>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</si>
  <si>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</si>
  <si>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</si>
  <si>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</si>
  <si>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</si>
  <si>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</si>
  <si>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</si>
  <si>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</si>
  <si>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</si>
  <si>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</si>
  <si>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</si>
  <si>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</si>
  <si>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</si>
  <si>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</si>
  <si>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</si>
  <si>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</si>
  <si>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</si>
  <si>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</si>
  <si>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</si>
  <si>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</si>
  <si>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</si>
  <si>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</si>
  <si>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</si>
  <si>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</si>
  <si>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</si>
  <si>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</si>
  <si>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</si>
  <si>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</si>
  <si>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</si>
  <si>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</si>
  <si>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</si>
  <si>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</si>
  <si>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</si>
  <si>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</si>
  <si>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</si>
  <si>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</si>
  <si>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</si>
  <si>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</si>
  <si>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</si>
  <si>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</si>
  <si>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</si>
  <si>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</si>
  <si>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</si>
  <si>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</si>
  <si>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</si>
  <si>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</si>
  <si>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</si>
  <si>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</si>
  <si>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</si>
  <si>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</si>
  <si>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Patient Admission Flag</t>
  </si>
  <si>
    <t>Admitted</t>
  </si>
  <si>
    <t>Not Admitted</t>
  </si>
  <si>
    <t>Count of Patient Admission Flag</t>
  </si>
  <si>
    <t>Count of Patient Admission Flag2</t>
  </si>
  <si>
    <t>Admission Status</t>
  </si>
  <si>
    <t>No. of Patient</t>
  </si>
  <si>
    <t>% Status</t>
  </si>
  <si>
    <t>Averege of Patient Satisfaction Score</t>
  </si>
  <si>
    <t>Age Group</t>
  </si>
  <si>
    <t>01-09</t>
  </si>
  <si>
    <t>10-19</t>
  </si>
  <si>
    <t>20-29</t>
  </si>
  <si>
    <t>30-39</t>
  </si>
  <si>
    <t>40-49</t>
  </si>
  <si>
    <t>50-59</t>
  </si>
  <si>
    <t>60-69</t>
  </si>
  <si>
    <t>70-79</t>
  </si>
  <si>
    <t>Count of Age Group</t>
  </si>
  <si>
    <t>_Age Group waise analysis</t>
  </si>
  <si>
    <t>Patient Attend Status</t>
  </si>
  <si>
    <t>Delay</t>
  </si>
  <si>
    <t>On Time</t>
  </si>
  <si>
    <t>Count of Patient Attend Status</t>
  </si>
  <si>
    <t>Patient Gender</t>
  </si>
  <si>
    <t>Female</t>
  </si>
  <si>
    <t>Male</t>
  </si>
  <si>
    <t>Count of Patient Gender</t>
  </si>
  <si>
    <t>Patient attended time</t>
  </si>
  <si>
    <t>Gnder wise analysis</t>
  </si>
  <si>
    <t>Department Referral</t>
  </si>
  <si>
    <t>Cardiology</t>
  </si>
  <si>
    <t>Gastroenterology</t>
  </si>
  <si>
    <t>General Practice</t>
  </si>
  <si>
    <t>Neurology</t>
  </si>
  <si>
    <t>None</t>
  </si>
  <si>
    <t>Orthopedics</t>
  </si>
  <si>
    <t>Physiotherapy</t>
  </si>
  <si>
    <t>Renal</t>
  </si>
  <si>
    <t>Count of Department Referral</t>
  </si>
  <si>
    <t>Date</t>
  </si>
  <si>
    <t>Date (Year)</t>
  </si>
  <si>
    <t>Date (Quarter)</t>
  </si>
  <si>
    <t>Date (Month)</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</si>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</sst>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1" fillId="2" borderId="0" xfId="1" quotePrefix="1" applyFill="1"/>
    <xf numFmtId="10" fontId="0" fillId="0" borderId="0" xfId="0" applyNumberFormat="1"/>
    <xf numFmtId="0" fontId="0" fillId="3" borderId="0" xfId="0" applyFill="1"/>
    <xf numFmtId="0" fontId="0" fillId="3" borderId="0" xfId="0" applyFill="1" applyAlignment="1">
      <alignment horizontal="left"/>
    </xf>
    <xf numFmtId="0" fontId="0" fillId="4" borderId="0" xfId="0" applyFill="1"/>
    <xf numFmtId="1" fontId="0" fillId="0" borderId="0" xfId="0" applyNumberFormat="1"/>
    <xf numFmtId="0" fontId="2" fillId="0" borderId="0" xfId="0" applyFont="1" applyAlignment="1">
      <alignment horizontal="center"/>
    </xf>
    <xf numFmtId="0" fontId="0" fillId="0" borderId="0" xfId="0" applyAlignment="1">
      <alignment horizontal="center"/>
    </xf>
  </cellXfs>
  <cellStyles count="2">
    <cellStyle name="Hyperlink" xfId="1" builtinId="8"/>
    <cellStyle name="Normal" xfId="0" builtinId="0"/>
  </cellStyles>
  <dxfs count="18">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font>
        <b/>
        <color theme="1"/>
      </font>
      <border>
        <bottom style="thin">
          <color theme="5"/>
        </bottom>
        <vertical/>
        <horizontal/>
      </border>
    </dxf>
    <dxf>
      <font>
        <sz val="14"/>
        <color theme="1"/>
      </font>
      <fill>
        <patternFill>
          <bgColor theme="8"/>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Invisible" pivot="0" table="0" count="0" xr9:uid="{744DE4AE-7E50-4611-84C2-E034D7A78728}"/>
    <tableStyle name="my style" pivot="0" table="0" count="10" xr9:uid="{82A6A6AC-9B97-4AF2-B19A-C52BC45324CC}">
      <tableStyleElement type="wholeTable" dxfId="17"/>
      <tableStyleElement type="headerRow" dxfId="16"/>
    </tableStyle>
  </tableStyles>
  <colors>
    <mruColors>
      <color rgb="FF05B4D1"/>
      <color rgb="FF06D08D"/>
      <color rgb="FFFFFF00"/>
      <color rgb="FFFF0066"/>
      <color rgb="FF99F2F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Table!PivotTable8</c:name>
    <c:fmtId val="133"/>
  </c:pivotSource>
  <c:chart>
    <c:autoTitleDeleted val="0"/>
    <c:pivotFmts>
      <c:pivotFmt>
        <c:idx val="0"/>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tx1">
                <a:lumMod val="15000"/>
                <a:lumOff val="85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DFA618E1-F2CB-4359-A766-338A0A65801A}" type="CELLRANGE">
                  <a:rPr lang="en-US"/>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0">
            <a:solidFill>
              <a:schemeClr val="tx1">
                <a:lumMod val="15000"/>
                <a:lumOff val="85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8071A135-200C-4E32-96D6-F4ACD76C28E7}" type="CELLRANGE">
                  <a:rPr lang="en-IN"/>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7.1219935412348778E-2"/>
          <c:y val="6.8867780147126342E-2"/>
          <c:w val="0.82491331830620873"/>
          <c:h val="0.91481472538145581"/>
        </c:manualLayout>
      </c:layout>
      <c:barChart>
        <c:barDir val="bar"/>
        <c:grouping val="clustered"/>
        <c:varyColors val="0"/>
        <c:ser>
          <c:idx val="0"/>
          <c:order val="0"/>
          <c:tx>
            <c:strRef>
              <c:f>'Pivot Table'!$N$4:$N$5</c:f>
              <c:strCache>
                <c:ptCount val="1"/>
                <c:pt idx="0">
                  <c:v>Count of Patient Admission Flag</c:v>
                </c:pt>
              </c:strCache>
            </c:strRef>
          </c:tx>
          <c:spPr>
            <a:solidFill>
              <a:schemeClr val="accent1"/>
            </a:solidFill>
            <a:ln w="0">
              <a:solidFill>
                <a:schemeClr val="tx1">
                  <a:lumMod val="15000"/>
                  <a:lumOff val="85000"/>
                </a:schemeClr>
              </a:solidFill>
            </a:ln>
            <a:effectLst/>
          </c:spPr>
          <c:invertIfNegative val="0"/>
          <c:dPt>
            <c:idx val="0"/>
            <c:invertIfNegative val="0"/>
            <c:bubble3D val="0"/>
            <c:extLst>
              <c:ext xmlns:c16="http://schemas.microsoft.com/office/drawing/2014/chart" uri="{C3380CC4-5D6E-409C-BE32-E72D297353CC}">
                <c16:uniqueId val="{00000003-A2C4-4790-830E-9B0684CDF1B4}"/>
              </c:ext>
            </c:extLst>
          </c:dPt>
          <c:dPt>
            <c:idx val="1"/>
            <c:invertIfNegative val="0"/>
            <c:bubble3D val="0"/>
            <c:extLst>
              <c:ext xmlns:c16="http://schemas.microsoft.com/office/drawing/2014/chart" uri="{C3380CC4-5D6E-409C-BE32-E72D297353CC}">
                <c16:uniqueId val="{00000004-A2C4-4790-830E-9B0684CDF1B4}"/>
              </c:ext>
            </c:extLst>
          </c:dPt>
          <c:dLbls>
            <c:dLbl>
              <c:idx val="0"/>
              <c:tx>
                <c:rich>
                  <a:bodyPr/>
                  <a:lstStyle/>
                  <a:p>
                    <a:fld id="{DFA618E1-F2CB-4359-A766-338A0A65801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2C4-4790-830E-9B0684CDF1B4}"/>
                </c:ext>
              </c:extLst>
            </c:dLbl>
            <c:dLbl>
              <c:idx val="1"/>
              <c:tx>
                <c:rich>
                  <a:bodyPr/>
                  <a:lstStyle/>
                  <a:p>
                    <a:fld id="{8071A135-200C-4E32-96D6-F4ACD76C28E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2C4-4790-830E-9B0684CDF1B4}"/>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Table'!$N$4:$N$5</c:f>
              <c:strCache>
                <c:ptCount val="2"/>
                <c:pt idx="0">
                  <c:v>Admitted</c:v>
                </c:pt>
                <c:pt idx="1">
                  <c:v>Not Admitted</c:v>
                </c:pt>
              </c:strCache>
            </c:strRef>
          </c:cat>
          <c:val>
            <c:numRef>
              <c:f>'Pivot Table'!$N$4:$N$5</c:f>
              <c:numCache>
                <c:formatCode>0</c:formatCode>
                <c:ptCount val="2"/>
                <c:pt idx="0">
                  <c:v>4612</c:v>
                </c:pt>
                <c:pt idx="1">
                  <c:v>4604</c:v>
                </c:pt>
              </c:numCache>
            </c:numRef>
          </c:val>
          <c:extLst>
            <c:ext xmlns:c15="http://schemas.microsoft.com/office/drawing/2012/chart" uri="{02D57815-91ED-43cb-92C2-25804820EDAC}">
              <c15:datalabelsRange>
                <c15:f>'Pivot Table'!$N$4:$N$5</c15:f>
                <c15:dlblRangeCache>
                  <c:ptCount val="2"/>
                  <c:pt idx="0">
                    <c:v>50.04%</c:v>
                  </c:pt>
                  <c:pt idx="1">
                    <c:v>49.96%</c:v>
                  </c:pt>
                </c15:dlblRangeCache>
              </c15:datalabelsRange>
            </c:ext>
            <c:ext xmlns:c16="http://schemas.microsoft.com/office/drawing/2014/chart" uri="{C3380CC4-5D6E-409C-BE32-E72D297353CC}">
              <c16:uniqueId val="{00000000-A2C4-4790-830E-9B0684CDF1B4}"/>
            </c:ext>
          </c:extLst>
        </c:ser>
        <c:ser>
          <c:idx val="1"/>
          <c:order val="1"/>
          <c:tx>
            <c:strRef>
              <c:f>'Pivot Table'!$N$4:$N$5</c:f>
              <c:strCache>
                <c:ptCount val="1"/>
                <c:pt idx="0">
                  <c:v>Count of Patient Admission Flag2</c:v>
                </c:pt>
              </c:strCache>
            </c:strRef>
          </c:tx>
          <c:spPr>
            <a:solidFill>
              <a:schemeClr val="accent2"/>
            </a:solidFill>
            <a:ln>
              <a:noFill/>
            </a:ln>
            <a:effectLst/>
          </c:spPr>
          <c:invertIfNegative val="0"/>
          <c:cat>
            <c:strRef>
              <c:f>'Pivot Table'!$N$4:$N$5</c:f>
              <c:strCache>
                <c:ptCount val="2"/>
                <c:pt idx="0">
                  <c:v>Admitted</c:v>
                </c:pt>
                <c:pt idx="1">
                  <c:v>Not Admitted</c:v>
                </c:pt>
              </c:strCache>
            </c:strRef>
          </c:cat>
          <c:val>
            <c:numRef>
              <c:f>'Pivot Table'!$N$4:$N$5</c:f>
              <c:numCache>
                <c:formatCode>0.00%</c:formatCode>
                <c:ptCount val="2"/>
                <c:pt idx="0">
                  <c:v>0.50043402777777779</c:v>
                </c:pt>
                <c:pt idx="1">
                  <c:v>0.49956597222222221</c:v>
                </c:pt>
              </c:numCache>
            </c:numRef>
          </c:val>
          <c:extLst>
            <c:ext xmlns:c16="http://schemas.microsoft.com/office/drawing/2014/chart" uri="{C3380CC4-5D6E-409C-BE32-E72D297353CC}">
              <c16:uniqueId val="{00000001-A2C4-4790-830E-9B0684CDF1B4}"/>
            </c:ext>
          </c:extLst>
        </c:ser>
        <c:dLbls>
          <c:showLegendKey val="0"/>
          <c:showVal val="0"/>
          <c:showCatName val="0"/>
          <c:showSerName val="0"/>
          <c:showPercent val="0"/>
          <c:showBubbleSize val="0"/>
        </c:dLbls>
        <c:gapWidth val="60"/>
        <c:axId val="1551593968"/>
        <c:axId val="1551587248"/>
      </c:barChart>
      <c:catAx>
        <c:axId val="1551593968"/>
        <c:scaling>
          <c:orientation val="minMax"/>
        </c:scaling>
        <c:delete val="1"/>
        <c:axPos val="l"/>
        <c:numFmt formatCode="General" sourceLinked="1"/>
        <c:majorTickMark val="none"/>
        <c:minorTickMark val="none"/>
        <c:tickLblPos val="nextTo"/>
        <c:crossAx val="1551587248"/>
        <c:crosses val="autoZero"/>
        <c:auto val="1"/>
        <c:lblAlgn val="ctr"/>
        <c:lblOffset val="100"/>
        <c:noMultiLvlLbl val="0"/>
      </c:catAx>
      <c:valAx>
        <c:axId val="1551587248"/>
        <c:scaling>
          <c:orientation val="minMax"/>
        </c:scaling>
        <c:delete val="1"/>
        <c:axPos val="b"/>
        <c:numFmt formatCode="0" sourceLinked="1"/>
        <c:majorTickMark val="none"/>
        <c:minorTickMark val="none"/>
        <c:tickLblPos val="nextTo"/>
        <c:crossAx val="155159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Table!PivotTable12</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78644576942335E-3"/>
          <c:y val="0.10737330910559253"/>
          <c:w val="0.98155810069195892"/>
          <c:h val="0.89262669089440727"/>
        </c:manualLayout>
      </c:layout>
      <c:areaChart>
        <c:grouping val="standard"/>
        <c:varyColors val="0"/>
        <c:ser>
          <c:idx val="0"/>
          <c:order val="0"/>
          <c:tx>
            <c:strRef>
              <c:f>'Pivot Table'!$D$2</c:f>
              <c:strCache>
                <c:ptCount val="1"/>
                <c:pt idx="0">
                  <c:v>Total</c:v>
                </c:pt>
              </c:strCache>
            </c:strRef>
          </c:tx>
          <c:spPr>
            <a:solidFill>
              <a:schemeClr val="accent1"/>
            </a:solidFill>
            <a:ln w="25400">
              <a:noFill/>
            </a:ln>
            <a:effectLst/>
          </c:spPr>
          <c:cat>
            <c:strRef>
              <c:f>'Pivot Table'!$C$3:$C$369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Table'!$D$3:$D$369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2-C699-4DDB-BC5F-FBA6ACFA4746}"/>
            </c:ext>
          </c:extLst>
        </c:ser>
        <c:dLbls>
          <c:showLegendKey val="0"/>
          <c:showVal val="0"/>
          <c:showCatName val="0"/>
          <c:showSerName val="0"/>
          <c:showPercent val="0"/>
          <c:showBubbleSize val="0"/>
        </c:dLbls>
        <c:axId val="1460938976"/>
        <c:axId val="1460939936"/>
      </c:areaChart>
      <c:catAx>
        <c:axId val="1460938976"/>
        <c:scaling>
          <c:orientation val="minMax"/>
        </c:scaling>
        <c:delete val="1"/>
        <c:axPos val="b"/>
        <c:numFmt formatCode="General" sourceLinked="1"/>
        <c:majorTickMark val="out"/>
        <c:minorTickMark val="none"/>
        <c:tickLblPos val="nextTo"/>
        <c:crossAx val="1460939936"/>
        <c:crosses val="autoZero"/>
        <c:auto val="1"/>
        <c:lblAlgn val="ctr"/>
        <c:lblOffset val="100"/>
        <c:noMultiLvlLbl val="0"/>
      </c:catAx>
      <c:valAx>
        <c:axId val="1460939936"/>
        <c:scaling>
          <c:orientation val="minMax"/>
        </c:scaling>
        <c:delete val="1"/>
        <c:axPos val="l"/>
        <c:numFmt formatCode="General" sourceLinked="1"/>
        <c:majorTickMark val="none"/>
        <c:minorTickMark val="none"/>
        <c:tickLblPos val="nextTo"/>
        <c:crossAx val="1460938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Table!PivotTable2</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06812735364599E-3"/>
          <c:y val="0.24923228346456694"/>
          <c:w val="0.98237885462555063"/>
          <c:h val="0.75076771653543306"/>
        </c:manualLayout>
      </c:layout>
      <c:areaChart>
        <c:grouping val="standard"/>
        <c:varyColors val="0"/>
        <c:ser>
          <c:idx val="0"/>
          <c:order val="0"/>
          <c:tx>
            <c:strRef>
              <c:f>'Pivot Table'!$G$2</c:f>
              <c:strCache>
                <c:ptCount val="1"/>
                <c:pt idx="0">
                  <c:v>Total</c:v>
                </c:pt>
              </c:strCache>
            </c:strRef>
          </c:tx>
          <c:spPr>
            <a:solidFill>
              <a:schemeClr val="accent1"/>
            </a:solidFill>
            <a:ln w="25400">
              <a:noFill/>
            </a:ln>
            <a:effectLst/>
          </c:spPr>
          <c:cat>
            <c:strRef>
              <c:f>'Pivot Table'!$F$3:$F$369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Table'!$G$3:$G$369</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2-5068-429B-BEE3-B10A0EEF7113}"/>
            </c:ext>
          </c:extLst>
        </c:ser>
        <c:dLbls>
          <c:showLegendKey val="0"/>
          <c:showVal val="0"/>
          <c:showCatName val="0"/>
          <c:showSerName val="0"/>
          <c:showPercent val="0"/>
          <c:showBubbleSize val="0"/>
        </c:dLbls>
        <c:axId val="1374008368"/>
        <c:axId val="1374010768"/>
      </c:areaChart>
      <c:catAx>
        <c:axId val="1374008368"/>
        <c:scaling>
          <c:orientation val="minMax"/>
        </c:scaling>
        <c:delete val="1"/>
        <c:axPos val="b"/>
        <c:numFmt formatCode="General" sourceLinked="1"/>
        <c:majorTickMark val="out"/>
        <c:minorTickMark val="none"/>
        <c:tickLblPos val="nextTo"/>
        <c:crossAx val="1374010768"/>
        <c:crosses val="autoZero"/>
        <c:auto val="1"/>
        <c:lblAlgn val="ctr"/>
        <c:lblOffset val="100"/>
        <c:noMultiLvlLbl val="0"/>
      </c:catAx>
      <c:valAx>
        <c:axId val="1374010768"/>
        <c:scaling>
          <c:orientation val="minMax"/>
        </c:scaling>
        <c:delete val="1"/>
        <c:axPos val="l"/>
        <c:numFmt formatCode="0.00" sourceLinked="1"/>
        <c:majorTickMark val="none"/>
        <c:minorTickMark val="none"/>
        <c:tickLblPos val="nextTo"/>
        <c:crossAx val="1374008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Table!PivotTable3</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88501099524728E-3"/>
          <c:y val="1.2864173228346432E-2"/>
          <c:w val="0.9910714285714286"/>
          <c:h val="0.96244586614173233"/>
        </c:manualLayout>
      </c:layout>
      <c:areaChart>
        <c:grouping val="standard"/>
        <c:varyColors val="0"/>
        <c:ser>
          <c:idx val="0"/>
          <c:order val="0"/>
          <c:tx>
            <c:strRef>
              <c:f>'Pivot Table'!$J$2</c:f>
              <c:strCache>
                <c:ptCount val="1"/>
                <c:pt idx="0">
                  <c:v>Total</c:v>
                </c:pt>
              </c:strCache>
            </c:strRef>
          </c:tx>
          <c:spPr>
            <a:solidFill>
              <a:schemeClr val="accent1"/>
            </a:solidFill>
            <a:ln w="25400">
              <a:noFill/>
            </a:ln>
            <a:effectLst/>
          </c:spPr>
          <c:cat>
            <c:strRef>
              <c:f>'Pivot Table'!$I$3:$I$366</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Table'!$J$3:$J$366</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2-BC9B-4497-B1DB-113E78F4047D}"/>
            </c:ext>
          </c:extLst>
        </c:ser>
        <c:dLbls>
          <c:showLegendKey val="0"/>
          <c:showVal val="0"/>
          <c:showCatName val="0"/>
          <c:showSerName val="0"/>
          <c:showPercent val="0"/>
          <c:showBubbleSize val="0"/>
        </c:dLbls>
        <c:axId val="1693480016"/>
        <c:axId val="1693483376"/>
      </c:areaChart>
      <c:catAx>
        <c:axId val="1693480016"/>
        <c:scaling>
          <c:orientation val="minMax"/>
        </c:scaling>
        <c:delete val="1"/>
        <c:axPos val="b"/>
        <c:numFmt formatCode="General" sourceLinked="1"/>
        <c:majorTickMark val="out"/>
        <c:minorTickMark val="none"/>
        <c:tickLblPos val="nextTo"/>
        <c:crossAx val="1693483376"/>
        <c:crosses val="autoZero"/>
        <c:auto val="1"/>
        <c:lblAlgn val="ctr"/>
        <c:lblOffset val="100"/>
        <c:noMultiLvlLbl val="0"/>
      </c:catAx>
      <c:valAx>
        <c:axId val="1693483376"/>
        <c:scaling>
          <c:orientation val="minMax"/>
        </c:scaling>
        <c:delete val="1"/>
        <c:axPos val="l"/>
        <c:numFmt formatCode="0.00" sourceLinked="1"/>
        <c:majorTickMark val="none"/>
        <c:minorTickMark val="none"/>
        <c:tickLblPos val="nextTo"/>
        <c:crossAx val="1693480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Table!PivotTable4</c:name>
    <c:fmtId val="1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44827586206897E-2"/>
          <c:y val="0.05"/>
          <c:w val="0.93931034482758624"/>
          <c:h val="0.63801732283464574"/>
        </c:manualLayout>
      </c:layout>
      <c:barChart>
        <c:barDir val="col"/>
        <c:grouping val="clustered"/>
        <c:varyColors val="0"/>
        <c:ser>
          <c:idx val="0"/>
          <c:order val="0"/>
          <c:tx>
            <c:strRef>
              <c:f>'Pivot Table'!$M$17</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Table'!$L$18:$L$26</c:f>
              <c:strCache>
                <c:ptCount val="8"/>
                <c:pt idx="0">
                  <c:v>01-09</c:v>
                </c:pt>
                <c:pt idx="1">
                  <c:v>10-19</c:v>
                </c:pt>
                <c:pt idx="2">
                  <c:v>20-29</c:v>
                </c:pt>
                <c:pt idx="3">
                  <c:v>30-39</c:v>
                </c:pt>
                <c:pt idx="4">
                  <c:v>40-49</c:v>
                </c:pt>
                <c:pt idx="5">
                  <c:v>50-59</c:v>
                </c:pt>
                <c:pt idx="6">
                  <c:v>60-69</c:v>
                </c:pt>
                <c:pt idx="7">
                  <c:v>70-79</c:v>
                </c:pt>
              </c:strCache>
            </c:strRef>
          </c:cat>
          <c:val>
            <c:numRef>
              <c:f>'Pivot Table'!$M$18:$M$26</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2-6A9A-44F1-912C-FB0F7908D781}"/>
            </c:ext>
          </c:extLst>
        </c:ser>
        <c:dLbls>
          <c:dLblPos val="outEnd"/>
          <c:showLegendKey val="0"/>
          <c:showVal val="1"/>
          <c:showCatName val="0"/>
          <c:showSerName val="0"/>
          <c:showPercent val="0"/>
          <c:showBubbleSize val="0"/>
        </c:dLbls>
        <c:gapWidth val="219"/>
        <c:overlap val="-27"/>
        <c:axId val="2059852768"/>
        <c:axId val="2059851328"/>
      </c:barChart>
      <c:catAx>
        <c:axId val="205985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59851328"/>
        <c:crosses val="autoZero"/>
        <c:auto val="1"/>
        <c:lblAlgn val="ctr"/>
        <c:lblOffset val="100"/>
        <c:noMultiLvlLbl val="0"/>
      </c:catAx>
      <c:valAx>
        <c:axId val="2059851328"/>
        <c:scaling>
          <c:orientation val="minMax"/>
        </c:scaling>
        <c:delete val="1"/>
        <c:axPos val="l"/>
        <c:numFmt formatCode="0" sourceLinked="1"/>
        <c:majorTickMark val="out"/>
        <c:minorTickMark val="none"/>
        <c:tickLblPos val="nextTo"/>
        <c:crossAx val="205985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latin typeface="Bahnschrift" panose="020B0502040204020203"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Table!PivotTable5</c:name>
    <c:fmtId val="14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440312343228568"/>
          <c:y val="0.13265209826299804"/>
          <c:w val="0.64088946198798324"/>
          <c:h val="0.6888961632604913"/>
        </c:manualLayout>
      </c:layout>
      <c:pieChart>
        <c:varyColors val="1"/>
        <c:ser>
          <c:idx val="0"/>
          <c:order val="0"/>
          <c:tx>
            <c:strRef>
              <c:f>'Pivot Table'!$M$30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3C-4E78-8330-2AA8BCA5E2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3C-4E78-8330-2AA8BCA5E2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Table'!$L$31:$L$33</c:f>
              <c:strCache>
                <c:ptCount val="2"/>
                <c:pt idx="0">
                  <c:v>Delay</c:v>
                </c:pt>
                <c:pt idx="1">
                  <c:v>On Time</c:v>
                </c:pt>
              </c:strCache>
            </c:strRef>
          </c:cat>
          <c:val>
            <c:numRef>
              <c:f>'Pivot Table'!$M$31:$M$33</c:f>
              <c:numCache>
                <c:formatCode>0</c:formatCode>
                <c:ptCount val="2"/>
                <c:pt idx="0">
                  <c:v>5467</c:v>
                </c:pt>
                <c:pt idx="1">
                  <c:v>3749</c:v>
                </c:pt>
              </c:numCache>
            </c:numRef>
          </c:val>
          <c:extLst>
            <c:ext xmlns:c16="http://schemas.microsoft.com/office/drawing/2014/chart" uri="{C3380CC4-5D6E-409C-BE32-E72D297353CC}">
              <c16:uniqueId val="{00000006-CDBE-4F9E-87C4-F6EB1515189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2.3128206535158714E-2"/>
          <c:y val="1.8878173936123153E-2"/>
          <c:w val="0.94293424414663396"/>
          <c:h val="0.10576076887447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Table!PivotTable7</c:name>
    <c:fmtId val="1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02080073866987"/>
          <c:y val="6.400672247984812E-3"/>
          <c:w val="0.6850662729658793"/>
          <c:h val="0.86069444444444443"/>
        </c:manualLayout>
      </c:layout>
      <c:barChart>
        <c:barDir val="bar"/>
        <c:grouping val="clustered"/>
        <c:varyColors val="0"/>
        <c:ser>
          <c:idx val="0"/>
          <c:order val="0"/>
          <c:tx>
            <c:strRef>
              <c:f>'Pivot Table'!$M$42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Table'!$L$43:$L$51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Table'!$M$43:$M$51</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2-6638-4A2C-91F4-3CEF82AAFE2F}"/>
            </c:ext>
          </c:extLst>
        </c:ser>
        <c:dLbls>
          <c:dLblPos val="outEnd"/>
          <c:showLegendKey val="0"/>
          <c:showVal val="1"/>
          <c:showCatName val="0"/>
          <c:showSerName val="0"/>
          <c:showPercent val="0"/>
          <c:showBubbleSize val="0"/>
        </c:dLbls>
        <c:gapWidth val="78"/>
        <c:axId val="735736304"/>
        <c:axId val="735723824"/>
      </c:barChart>
      <c:catAx>
        <c:axId val="73573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35723824"/>
        <c:crosses val="autoZero"/>
        <c:auto val="1"/>
        <c:lblAlgn val="ctr"/>
        <c:lblOffset val="100"/>
        <c:noMultiLvlLbl val="0"/>
      </c:catAx>
      <c:valAx>
        <c:axId val="735723824"/>
        <c:scaling>
          <c:orientation val="minMax"/>
        </c:scaling>
        <c:delete val="1"/>
        <c:axPos val="b"/>
        <c:numFmt formatCode="0" sourceLinked="1"/>
        <c:majorTickMark val="none"/>
        <c:minorTickMark val="none"/>
        <c:tickLblPos val="nextTo"/>
        <c:crossAx val="7357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Table!PivotTable6</c:name>
    <c:fmtId val="19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450047955100752"/>
          <c:y val="0.11352994159862859"/>
          <c:w val="0.69294093543257818"/>
          <c:h val="0.76453671150884739"/>
        </c:manualLayout>
      </c:layout>
      <c:doughnutChart>
        <c:varyColors val="1"/>
        <c:ser>
          <c:idx val="0"/>
          <c:order val="0"/>
          <c:tx>
            <c:strRef>
              <c:f>'Pivot Table'!$M$36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627-4DDC-9AFD-0413C46800A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627-4DDC-9AFD-0413C46800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Table'!$L$37:$L$39</c:f>
              <c:strCache>
                <c:ptCount val="2"/>
                <c:pt idx="0">
                  <c:v>Female</c:v>
                </c:pt>
                <c:pt idx="1">
                  <c:v>Male</c:v>
                </c:pt>
              </c:strCache>
            </c:strRef>
          </c:cat>
          <c:val>
            <c:numRef>
              <c:f>'Pivot Table'!$M$37:$M$39</c:f>
              <c:numCache>
                <c:formatCode>0</c:formatCode>
                <c:ptCount val="2"/>
                <c:pt idx="0">
                  <c:v>4487</c:v>
                </c:pt>
                <c:pt idx="1">
                  <c:v>4729</c:v>
                </c:pt>
              </c:numCache>
            </c:numRef>
          </c:val>
          <c:extLst>
            <c:ext xmlns:c16="http://schemas.microsoft.com/office/drawing/2014/chart" uri="{C3380CC4-5D6E-409C-BE32-E72D297353CC}">
              <c16:uniqueId val="{00000006-06A8-4908-8D73-0EBBA072A3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1"/>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7348162054816585"/>
          <c:y val="4.4840384165502232E-3"/>
          <c:w val="0.63449765402791125"/>
          <c:h val="0.10030508179097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Table!PivotTable12</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05917605009271E-2"/>
          <c:y val="0.13971644696098379"/>
          <c:w val="0.83318830453360571"/>
          <c:h val="0.53420021233300896"/>
        </c:manualLayout>
      </c:layout>
      <c:areaChart>
        <c:grouping val="standard"/>
        <c:varyColors val="0"/>
        <c:ser>
          <c:idx val="0"/>
          <c:order val="0"/>
          <c:tx>
            <c:strRef>
              <c:f>'Pivot Table'!$D$2</c:f>
              <c:strCache>
                <c:ptCount val="1"/>
                <c:pt idx="0">
                  <c:v>Total</c:v>
                </c:pt>
              </c:strCache>
            </c:strRef>
          </c:tx>
          <c:spPr>
            <a:solidFill>
              <a:schemeClr val="accent1"/>
            </a:solidFill>
            <a:ln w="25400">
              <a:noFill/>
            </a:ln>
            <a:effectLst/>
          </c:spPr>
          <c:cat>
            <c:strRef>
              <c:f>'Pivot Table'!$C$3:$C$369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Table'!$D$3:$D$369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1-90CE-4E34-9D9C-5F48DCE6EA5D}"/>
            </c:ext>
          </c:extLst>
        </c:ser>
        <c:dLbls>
          <c:showLegendKey val="0"/>
          <c:showVal val="0"/>
          <c:showCatName val="0"/>
          <c:showSerName val="0"/>
          <c:showPercent val="0"/>
          <c:showBubbleSize val="0"/>
        </c:dLbls>
        <c:axId val="277134863"/>
        <c:axId val="277138223"/>
      </c:areaChart>
      <c:catAx>
        <c:axId val="277134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38223"/>
        <c:crosses val="autoZero"/>
        <c:auto val="1"/>
        <c:lblAlgn val="ctr"/>
        <c:lblOffset val="100"/>
        <c:noMultiLvlLbl val="0"/>
      </c:catAx>
      <c:valAx>
        <c:axId val="27713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34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Table!PivotTable2</c:name>
    <c:fmtId val="6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06812735364599E-3"/>
          <c:y val="0.26594521088763629"/>
          <c:w val="0.98237885462555063"/>
          <c:h val="0.53001381791064417"/>
        </c:manualLayout>
      </c:layout>
      <c:areaChart>
        <c:grouping val="standard"/>
        <c:varyColors val="0"/>
        <c:ser>
          <c:idx val="0"/>
          <c:order val="0"/>
          <c:tx>
            <c:strRef>
              <c:f>'Pivot Table'!$G$2</c:f>
              <c:strCache>
                <c:ptCount val="1"/>
                <c:pt idx="0">
                  <c:v>Total</c:v>
                </c:pt>
              </c:strCache>
            </c:strRef>
          </c:tx>
          <c:spPr>
            <a:solidFill>
              <a:schemeClr val="accent1"/>
            </a:solidFill>
            <a:ln w="25400">
              <a:noFill/>
            </a:ln>
            <a:effectLst/>
          </c:spPr>
          <c:cat>
            <c:strRef>
              <c:f>'Pivot Table'!$F$3:$F$369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Table'!$G$3:$G$369</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1-B459-4B43-A41D-3AA7A843FA33}"/>
            </c:ext>
          </c:extLst>
        </c:ser>
        <c:dLbls>
          <c:showLegendKey val="0"/>
          <c:showVal val="0"/>
          <c:showCatName val="0"/>
          <c:showSerName val="0"/>
          <c:showPercent val="0"/>
          <c:showBubbleSize val="0"/>
        </c:dLbls>
        <c:axId val="1374008368"/>
        <c:axId val="1374010768"/>
      </c:areaChart>
      <c:catAx>
        <c:axId val="1374008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010768"/>
        <c:crosses val="autoZero"/>
        <c:auto val="1"/>
        <c:lblAlgn val="ctr"/>
        <c:lblOffset val="100"/>
        <c:noMultiLvlLbl val="0"/>
      </c:catAx>
      <c:valAx>
        <c:axId val="1374010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0083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Table!PivotTable3</c:name>
    <c:fmtId val="6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Table'!$J$2</c:f>
              <c:strCache>
                <c:ptCount val="1"/>
                <c:pt idx="0">
                  <c:v>Total</c:v>
                </c:pt>
              </c:strCache>
            </c:strRef>
          </c:tx>
          <c:spPr>
            <a:solidFill>
              <a:schemeClr val="accent1"/>
            </a:solidFill>
            <a:ln w="25400">
              <a:noFill/>
            </a:ln>
            <a:effectLst/>
          </c:spPr>
          <c:cat>
            <c:strRef>
              <c:f>'Pivot Table'!$I$3:$I$366</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Table'!$J$3:$J$366</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1-75D3-431A-AABC-44A551CA0432}"/>
            </c:ext>
          </c:extLst>
        </c:ser>
        <c:dLbls>
          <c:showLegendKey val="0"/>
          <c:showVal val="0"/>
          <c:showCatName val="0"/>
          <c:showSerName val="0"/>
          <c:showPercent val="0"/>
          <c:showBubbleSize val="0"/>
        </c:dLbls>
        <c:axId val="1693480016"/>
        <c:axId val="1693483376"/>
      </c:areaChart>
      <c:catAx>
        <c:axId val="169348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83376"/>
        <c:crosses val="autoZero"/>
        <c:auto val="1"/>
        <c:lblAlgn val="ctr"/>
        <c:lblOffset val="100"/>
        <c:noMultiLvlLbl val="0"/>
      </c:catAx>
      <c:valAx>
        <c:axId val="1693483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800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mr no of Patient'!A1"/><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17" Type="http://schemas.openxmlformats.org/officeDocument/2006/relationships/image" Target="../media/image10.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14</xdr:col>
      <xdr:colOff>34510</xdr:colOff>
      <xdr:row>12</xdr:row>
      <xdr:rowOff>82825</xdr:rowOff>
    </xdr:from>
    <xdr:to>
      <xdr:col>15</xdr:col>
      <xdr:colOff>3945</xdr:colOff>
      <xdr:row>14</xdr:row>
      <xdr:rowOff>178107</xdr:rowOff>
    </xdr:to>
    <xdr:graphicFrame macro="">
      <xdr:nvGraphicFramePr>
        <xdr:cNvPr id="4" name="Chart 3">
          <a:extLst>
            <a:ext uri="{FF2B5EF4-FFF2-40B4-BE49-F238E27FC236}">
              <a16:creationId xmlns:a16="http://schemas.microsoft.com/office/drawing/2014/main" id="{3612DCF3-A87A-0BFF-277D-00F55BA67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601223</xdr:colOff>
      <xdr:row>0</xdr:row>
      <xdr:rowOff>57555</xdr:rowOff>
    </xdr:from>
    <xdr:to>
      <xdr:col>9</xdr:col>
      <xdr:colOff>405320</xdr:colOff>
      <xdr:row>3</xdr:row>
      <xdr:rowOff>171855</xdr:rowOff>
    </xdr:to>
    <xdr:sp macro="" textlink="">
      <xdr:nvSpPr>
        <xdr:cNvPr id="3" name="Rectangle: Rounded Corners 2">
          <a:extLst>
            <a:ext uri="{FF2B5EF4-FFF2-40B4-BE49-F238E27FC236}">
              <a16:creationId xmlns:a16="http://schemas.microsoft.com/office/drawing/2014/main" id="{ADB1620C-63BC-66A3-A89B-4CF48A76D0C9}"/>
            </a:ext>
          </a:extLst>
        </xdr:cNvPr>
        <xdr:cNvSpPr/>
      </xdr:nvSpPr>
      <xdr:spPr>
        <a:xfrm>
          <a:off x="1209202" y="57555"/>
          <a:ext cx="4667927" cy="661481"/>
        </a:xfrm>
        <a:prstGeom prst="roundRect">
          <a:avLst>
            <a:gd name="adj" fmla="val 14005"/>
          </a:avLst>
        </a:prstGeom>
        <a:solidFill>
          <a:srgbClr val="99F2F9"/>
        </a:solid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a:p>
      </xdr:txBody>
    </xdr:sp>
    <xdr:clientData/>
  </xdr:twoCellAnchor>
  <xdr:twoCellAnchor editAs="absolute">
    <xdr:from>
      <xdr:col>0</xdr:col>
      <xdr:colOff>69445</xdr:colOff>
      <xdr:row>4</xdr:row>
      <xdr:rowOff>82955</xdr:rowOff>
    </xdr:from>
    <xdr:to>
      <xdr:col>1</xdr:col>
      <xdr:colOff>507595</xdr:colOff>
      <xdr:row>19</xdr:row>
      <xdr:rowOff>114705</xdr:rowOff>
    </xdr:to>
    <xdr:sp macro="" textlink="">
      <xdr:nvSpPr>
        <xdr:cNvPr id="4" name="Rectangle: Rounded Corners 3">
          <a:extLst>
            <a:ext uri="{FF2B5EF4-FFF2-40B4-BE49-F238E27FC236}">
              <a16:creationId xmlns:a16="http://schemas.microsoft.com/office/drawing/2014/main" id="{E4D6F4E3-14EE-08BC-6D24-33D49505EFF5}"/>
            </a:ext>
          </a:extLst>
        </xdr:cNvPr>
        <xdr:cNvSpPr/>
      </xdr:nvSpPr>
      <xdr:spPr>
        <a:xfrm>
          <a:off x="69445" y="812529"/>
          <a:ext cx="1046129" cy="2767655"/>
        </a:xfrm>
        <a:prstGeom prst="roundRect">
          <a:avLst>
            <a:gd name="adj" fmla="val 14125"/>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565151</xdr:colOff>
      <xdr:row>4</xdr:row>
      <xdr:rowOff>31750</xdr:rowOff>
    </xdr:from>
    <xdr:to>
      <xdr:col>9</xdr:col>
      <xdr:colOff>400050</xdr:colOff>
      <xdr:row>8</xdr:row>
      <xdr:rowOff>31750</xdr:rowOff>
    </xdr:to>
    <xdr:grpSp>
      <xdr:nvGrpSpPr>
        <xdr:cNvPr id="15" name="Group 14">
          <a:extLst>
            <a:ext uri="{FF2B5EF4-FFF2-40B4-BE49-F238E27FC236}">
              <a16:creationId xmlns:a16="http://schemas.microsoft.com/office/drawing/2014/main" id="{A70BD72C-2532-B942-320A-2ED6A0FA594B}"/>
            </a:ext>
          </a:extLst>
        </xdr:cNvPr>
        <xdr:cNvGrpSpPr/>
      </xdr:nvGrpSpPr>
      <xdr:grpSpPr>
        <a:xfrm>
          <a:off x="1173130" y="761324"/>
          <a:ext cx="4698729" cy="729575"/>
          <a:chOff x="876300" y="901700"/>
          <a:chExt cx="4559301" cy="762446"/>
        </a:xfrm>
        <a:solidFill>
          <a:srgbClr val="FF0066"/>
        </a:solidFill>
      </xdr:grpSpPr>
      <xdr:sp macro="" textlink="">
        <xdr:nvSpPr>
          <xdr:cNvPr id="5" name="Rectangle: Rounded Corners 4">
            <a:extLst>
              <a:ext uri="{FF2B5EF4-FFF2-40B4-BE49-F238E27FC236}">
                <a16:creationId xmlns:a16="http://schemas.microsoft.com/office/drawing/2014/main" id="{73B24D6B-31AD-65B4-2BBA-5328D1BB61BD}"/>
              </a:ext>
            </a:extLst>
          </xdr:cNvPr>
          <xdr:cNvSpPr/>
        </xdr:nvSpPr>
        <xdr:spPr>
          <a:xfrm>
            <a:off x="876300" y="901700"/>
            <a:ext cx="1473200" cy="742950"/>
          </a:xfrm>
          <a:prstGeom prst="roundRect">
            <a:avLst>
              <a:gd name="adj" fmla="val 11399"/>
            </a:avLst>
          </a:prstGeom>
          <a:grp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B50B9C5D-FE3A-D843-3D22-C91856D788F9}"/>
              </a:ext>
            </a:extLst>
          </xdr:cNvPr>
          <xdr:cNvSpPr/>
        </xdr:nvSpPr>
        <xdr:spPr>
          <a:xfrm>
            <a:off x="3979328" y="908050"/>
            <a:ext cx="1456273" cy="756096"/>
          </a:xfrm>
          <a:prstGeom prst="roundRect">
            <a:avLst>
              <a:gd name="adj" fmla="val 12151"/>
            </a:avLst>
          </a:prstGeom>
          <a:grp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B2CB3EA-F333-67B4-2762-09ED76B9454C}"/>
              </a:ext>
            </a:extLst>
          </xdr:cNvPr>
          <xdr:cNvSpPr/>
        </xdr:nvSpPr>
        <xdr:spPr>
          <a:xfrm>
            <a:off x="2451100" y="908050"/>
            <a:ext cx="1485900" cy="742950"/>
          </a:xfrm>
          <a:prstGeom prst="roundRect">
            <a:avLst>
              <a:gd name="adj" fmla="val 12151"/>
            </a:avLst>
          </a:prstGeom>
          <a:grp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13</xdr:col>
      <xdr:colOff>6350</xdr:colOff>
      <xdr:row>0</xdr:row>
      <xdr:rowOff>38100</xdr:rowOff>
    </xdr:from>
    <xdr:to>
      <xdr:col>16</xdr:col>
      <xdr:colOff>133350</xdr:colOff>
      <xdr:row>10</xdr:row>
      <xdr:rowOff>0</xdr:rowOff>
    </xdr:to>
    <xdr:sp macro="" textlink="">
      <xdr:nvSpPr>
        <xdr:cNvPr id="11" name="Rectangle: Rounded Corners 10">
          <a:extLst>
            <a:ext uri="{FF2B5EF4-FFF2-40B4-BE49-F238E27FC236}">
              <a16:creationId xmlns:a16="http://schemas.microsoft.com/office/drawing/2014/main" id="{0D9BF4B8-B813-364D-569F-1E26F3AC88D5}"/>
            </a:ext>
          </a:extLst>
        </xdr:cNvPr>
        <xdr:cNvSpPr/>
      </xdr:nvSpPr>
      <xdr:spPr>
        <a:xfrm>
          <a:off x="7931150" y="38100"/>
          <a:ext cx="1955800" cy="1803400"/>
        </a:xfrm>
        <a:prstGeom prst="roundRect">
          <a:avLst>
            <a:gd name="adj" fmla="val 6273"/>
          </a:avLst>
        </a:prstGeom>
        <a:solidFill>
          <a:schemeClr val="accent4">
            <a:lumMod val="40000"/>
            <a:lumOff val="60000"/>
          </a:schemeClr>
        </a:solid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444500</xdr:colOff>
      <xdr:row>0</xdr:row>
      <xdr:rowOff>31750</xdr:rowOff>
    </xdr:from>
    <xdr:to>
      <xdr:col>12</xdr:col>
      <xdr:colOff>565150</xdr:colOff>
      <xdr:row>10</xdr:row>
      <xdr:rowOff>0</xdr:rowOff>
    </xdr:to>
    <xdr:sp macro="" textlink="">
      <xdr:nvSpPr>
        <xdr:cNvPr id="12" name="Rectangle: Rounded Corners 11">
          <a:extLst>
            <a:ext uri="{FF2B5EF4-FFF2-40B4-BE49-F238E27FC236}">
              <a16:creationId xmlns:a16="http://schemas.microsoft.com/office/drawing/2014/main" id="{8BAD6B6C-18D9-AC2B-EFAA-15031FCFAD43}"/>
            </a:ext>
          </a:extLst>
        </xdr:cNvPr>
        <xdr:cNvSpPr/>
      </xdr:nvSpPr>
      <xdr:spPr>
        <a:xfrm>
          <a:off x="5930900" y="31750"/>
          <a:ext cx="1949450" cy="1809750"/>
        </a:xfrm>
        <a:prstGeom prst="roundRect">
          <a:avLst>
            <a:gd name="adj" fmla="val 8034"/>
          </a:avLst>
        </a:prstGeom>
        <a:solidFill>
          <a:schemeClr val="accent4">
            <a:lumMod val="40000"/>
            <a:lumOff val="60000"/>
          </a:schemeClr>
        </a:solid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463551</xdr:colOff>
      <xdr:row>10</xdr:row>
      <xdr:rowOff>57150</xdr:rowOff>
    </xdr:from>
    <xdr:to>
      <xdr:col>16</xdr:col>
      <xdr:colOff>138044</xdr:colOff>
      <xdr:row>19</xdr:row>
      <xdr:rowOff>107950</xdr:rowOff>
    </xdr:to>
    <xdr:sp macro="" textlink="">
      <xdr:nvSpPr>
        <xdr:cNvPr id="13" name="Rectangle: Rounded Corners 12">
          <a:extLst>
            <a:ext uri="{FF2B5EF4-FFF2-40B4-BE49-F238E27FC236}">
              <a16:creationId xmlns:a16="http://schemas.microsoft.com/office/drawing/2014/main" id="{1CA62CDE-7A7E-86B9-3087-1AFB435E945A}"/>
            </a:ext>
          </a:extLst>
        </xdr:cNvPr>
        <xdr:cNvSpPr/>
      </xdr:nvSpPr>
      <xdr:spPr>
        <a:xfrm>
          <a:off x="5930073" y="1879324"/>
          <a:ext cx="3926232" cy="1690756"/>
        </a:xfrm>
        <a:prstGeom prst="roundRect">
          <a:avLst>
            <a:gd name="adj" fmla="val 5143"/>
          </a:avLst>
        </a:prstGeom>
        <a:solidFill>
          <a:srgbClr val="FFFF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558800</xdr:colOff>
      <xdr:row>8</xdr:row>
      <xdr:rowOff>50800</xdr:rowOff>
    </xdr:from>
    <xdr:to>
      <xdr:col>9</xdr:col>
      <xdr:colOff>400050</xdr:colOff>
      <xdr:row>11</xdr:row>
      <xdr:rowOff>158750</xdr:rowOff>
    </xdr:to>
    <xdr:sp macro="" textlink="">
      <xdr:nvSpPr>
        <xdr:cNvPr id="16" name="Rectangle: Rounded Corners 15">
          <a:extLst>
            <a:ext uri="{FF2B5EF4-FFF2-40B4-BE49-F238E27FC236}">
              <a16:creationId xmlns:a16="http://schemas.microsoft.com/office/drawing/2014/main" id="{2C691F44-F84A-30B2-04F4-D5C71415E423}"/>
            </a:ext>
          </a:extLst>
        </xdr:cNvPr>
        <xdr:cNvSpPr/>
      </xdr:nvSpPr>
      <xdr:spPr>
        <a:xfrm>
          <a:off x="1168400" y="1524000"/>
          <a:ext cx="4718050" cy="660400"/>
        </a:xfrm>
        <a:prstGeom prst="roundRect">
          <a:avLst>
            <a:gd name="adj" fmla="val 14957"/>
          </a:avLst>
        </a:prstGeom>
        <a:solidFill>
          <a:schemeClr val="accent4">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565150</xdr:colOff>
      <xdr:row>12</xdr:row>
      <xdr:rowOff>31750</xdr:rowOff>
    </xdr:from>
    <xdr:to>
      <xdr:col>9</xdr:col>
      <xdr:colOff>406400</xdr:colOff>
      <xdr:row>19</xdr:row>
      <xdr:rowOff>95250</xdr:rowOff>
    </xdr:to>
    <xdr:sp macro="" textlink="">
      <xdr:nvSpPr>
        <xdr:cNvPr id="17" name="Rectangle: Rounded Corners 16">
          <a:extLst>
            <a:ext uri="{FF2B5EF4-FFF2-40B4-BE49-F238E27FC236}">
              <a16:creationId xmlns:a16="http://schemas.microsoft.com/office/drawing/2014/main" id="{DB5D716A-7AC4-9974-AC36-606D8C8D7F1A}"/>
            </a:ext>
          </a:extLst>
        </xdr:cNvPr>
        <xdr:cNvSpPr/>
      </xdr:nvSpPr>
      <xdr:spPr>
        <a:xfrm>
          <a:off x="1174750" y="2241550"/>
          <a:ext cx="4718050" cy="1352550"/>
        </a:xfrm>
        <a:prstGeom prst="roundRect">
          <a:avLst>
            <a:gd name="adj" fmla="val 10262"/>
          </a:avLst>
        </a:prstGeom>
        <a:solidFill>
          <a:srgbClr val="05B4D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13511</xdr:colOff>
      <xdr:row>0</xdr:row>
      <xdr:rowOff>95656</xdr:rowOff>
    </xdr:from>
    <xdr:to>
      <xdr:col>9</xdr:col>
      <xdr:colOff>400454</xdr:colOff>
      <xdr:row>2</xdr:row>
      <xdr:rowOff>13106</xdr:rowOff>
    </xdr:to>
    <xdr:sp macro="" textlink="">
      <xdr:nvSpPr>
        <xdr:cNvPr id="18" name="TextBox 17">
          <a:extLst>
            <a:ext uri="{FF2B5EF4-FFF2-40B4-BE49-F238E27FC236}">
              <a16:creationId xmlns:a16="http://schemas.microsoft.com/office/drawing/2014/main" id="{E293565F-F74C-9605-861A-27BD98BE5A11}"/>
            </a:ext>
          </a:extLst>
        </xdr:cNvPr>
        <xdr:cNvSpPr txBox="1"/>
      </xdr:nvSpPr>
      <xdr:spPr>
        <a:xfrm>
          <a:off x="1837447" y="95656"/>
          <a:ext cx="4034816" cy="282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0"/>
            <a:t>Hospital Emergency Room</a:t>
          </a:r>
          <a:r>
            <a:rPr lang="en-IN" sz="2000" b="0" baseline="0"/>
            <a:t> Report</a:t>
          </a:r>
          <a:endParaRPr lang="en-IN" sz="2000" b="0"/>
        </a:p>
      </xdr:txBody>
    </xdr:sp>
    <xdr:clientData/>
  </xdr:twoCellAnchor>
  <xdr:twoCellAnchor editAs="oneCell">
    <xdr:from>
      <xdr:col>2</xdr:col>
      <xdr:colOff>82956</xdr:colOff>
      <xdr:row>0</xdr:row>
      <xdr:rowOff>102005</xdr:rowOff>
    </xdr:from>
    <xdr:to>
      <xdr:col>3</xdr:col>
      <xdr:colOff>178206</xdr:colOff>
      <xdr:row>3</xdr:row>
      <xdr:rowOff>102005</xdr:rowOff>
    </xdr:to>
    <xdr:pic>
      <xdr:nvPicPr>
        <xdr:cNvPr id="20" name="Picture 19">
          <a:extLst>
            <a:ext uri="{FF2B5EF4-FFF2-40B4-BE49-F238E27FC236}">
              <a16:creationId xmlns:a16="http://schemas.microsoft.com/office/drawing/2014/main" id="{D1136EB2-5740-4FF6-CE0F-87B64385F8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000" t="6512" r="15417" b="12552"/>
        <a:stretch>
          <a:fillRect/>
        </a:stretch>
      </xdr:blipFill>
      <xdr:spPr>
        <a:xfrm>
          <a:off x="1298913" y="102005"/>
          <a:ext cx="703229" cy="547181"/>
        </a:xfrm>
        <a:prstGeom prst="rect">
          <a:avLst/>
        </a:prstGeom>
      </xdr:spPr>
    </xdr:pic>
    <xdr:clientData/>
  </xdr:twoCellAnchor>
  <xdr:twoCellAnchor editAs="absolute">
    <xdr:from>
      <xdr:col>4</xdr:col>
      <xdr:colOff>222925</xdr:colOff>
      <xdr:row>2</xdr:row>
      <xdr:rowOff>20267</xdr:rowOff>
    </xdr:from>
    <xdr:to>
      <xdr:col>7</xdr:col>
      <xdr:colOff>601222</xdr:colOff>
      <xdr:row>3</xdr:row>
      <xdr:rowOff>74309</xdr:rowOff>
    </xdr:to>
    <xdr:sp macro="" textlink="">
      <xdr:nvSpPr>
        <xdr:cNvPr id="21" name="TextBox 20">
          <a:extLst>
            <a:ext uri="{FF2B5EF4-FFF2-40B4-BE49-F238E27FC236}">
              <a16:creationId xmlns:a16="http://schemas.microsoft.com/office/drawing/2014/main" id="{0839D8EC-F020-450B-822E-6A6CF42692A4}"/>
            </a:ext>
          </a:extLst>
        </xdr:cNvPr>
        <xdr:cNvSpPr txBox="1"/>
      </xdr:nvSpPr>
      <xdr:spPr>
        <a:xfrm>
          <a:off x="2654840" y="385054"/>
          <a:ext cx="2202233" cy="23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t>Yearly/Monthly</a:t>
          </a:r>
          <a:r>
            <a:rPr lang="en-IN" sz="1600" b="0" baseline="0"/>
            <a:t> Report</a:t>
          </a:r>
          <a:endParaRPr lang="en-IN" sz="1600" b="0"/>
        </a:p>
      </xdr:txBody>
    </xdr:sp>
    <xdr:clientData/>
  </xdr:twoCellAnchor>
  <xdr:twoCellAnchor editAs="absolute">
    <xdr:from>
      <xdr:col>2</xdr:col>
      <xdr:colOff>336550</xdr:colOff>
      <xdr:row>4</xdr:row>
      <xdr:rowOff>38100</xdr:rowOff>
    </xdr:from>
    <xdr:to>
      <xdr:col>4</xdr:col>
      <xdr:colOff>12700</xdr:colOff>
      <xdr:row>5</xdr:row>
      <xdr:rowOff>127000</xdr:rowOff>
    </xdr:to>
    <xdr:sp macro="" textlink="'Pivot Table'!A3">
      <xdr:nvSpPr>
        <xdr:cNvPr id="22" name="TextBox 21">
          <a:extLst>
            <a:ext uri="{FF2B5EF4-FFF2-40B4-BE49-F238E27FC236}">
              <a16:creationId xmlns:a16="http://schemas.microsoft.com/office/drawing/2014/main" id="{7BF952E9-BD5B-49AC-86E3-E0823111631A}"/>
            </a:ext>
          </a:extLst>
        </xdr:cNvPr>
        <xdr:cNvSpPr txBox="1"/>
      </xdr:nvSpPr>
      <xdr:spPr>
        <a:xfrm>
          <a:off x="1552507" y="767674"/>
          <a:ext cx="892108" cy="271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ABFF90E-8F25-4212-A4A1-FF5DCD02945A}" type="TxLink">
            <a:rPr lang="en-US" sz="1400" b="0" i="0" u="none" strike="noStrike">
              <a:solidFill>
                <a:srgbClr val="000000"/>
              </a:solidFill>
              <a:latin typeface="Calibri"/>
              <a:ea typeface="Calibri"/>
              <a:cs typeface="Calibri"/>
            </a:rPr>
            <a:pPr algn="ctr"/>
            <a:t>9216</a:t>
          </a:fld>
          <a:endParaRPr lang="en-IN" sz="1400" b="0"/>
        </a:p>
      </xdr:txBody>
    </xdr:sp>
    <xdr:clientData/>
  </xdr:twoCellAnchor>
  <xdr:twoCellAnchor editAs="absolute">
    <xdr:from>
      <xdr:col>2</xdr:col>
      <xdr:colOff>19050</xdr:colOff>
      <xdr:row>5</xdr:row>
      <xdr:rowOff>82550</xdr:rowOff>
    </xdr:from>
    <xdr:to>
      <xdr:col>4</xdr:col>
      <xdr:colOff>298450</xdr:colOff>
      <xdr:row>6</xdr:row>
      <xdr:rowOff>107950</xdr:rowOff>
    </xdr:to>
    <xdr:sp macro="" textlink="">
      <xdr:nvSpPr>
        <xdr:cNvPr id="9" name="TextBox 22">
          <a:extLst>
            <a:ext uri="{FF2B5EF4-FFF2-40B4-BE49-F238E27FC236}">
              <a16:creationId xmlns:a16="http://schemas.microsoft.com/office/drawing/2014/main" id="{416A7DAB-E6CB-45A1-B178-526DDE93C6C8}"/>
            </a:ext>
          </a:extLst>
        </xdr:cNvPr>
        <xdr:cNvSpPr txBox="1"/>
      </xdr:nvSpPr>
      <xdr:spPr>
        <a:xfrm>
          <a:off x="1235007" y="994518"/>
          <a:ext cx="1495358" cy="207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t>No.</a:t>
          </a:r>
          <a:r>
            <a:rPr lang="en-IN" sz="1200" b="0" baseline="0"/>
            <a:t> of </a:t>
          </a:r>
          <a:r>
            <a:rPr lang="en-IN" sz="1100" b="0" baseline="0"/>
            <a:t>Patient</a:t>
          </a:r>
          <a:endParaRPr lang="en-IN" sz="1200" b="0"/>
        </a:p>
      </xdr:txBody>
    </xdr:sp>
    <xdr:clientData/>
  </xdr:twoCellAnchor>
  <xdr:twoCellAnchor editAs="absolute">
    <xdr:from>
      <xdr:col>4</xdr:col>
      <xdr:colOff>368301</xdr:colOff>
      <xdr:row>4</xdr:row>
      <xdr:rowOff>95250</xdr:rowOff>
    </xdr:from>
    <xdr:to>
      <xdr:col>7</xdr:col>
      <xdr:colOff>19051</xdr:colOff>
      <xdr:row>5</xdr:row>
      <xdr:rowOff>133350</xdr:rowOff>
    </xdr:to>
    <xdr:sp macro="" textlink="'Pivot Table'!A7">
      <xdr:nvSpPr>
        <xdr:cNvPr id="24" name="TextBox 23">
          <a:extLst>
            <a:ext uri="{FF2B5EF4-FFF2-40B4-BE49-F238E27FC236}">
              <a16:creationId xmlns:a16="http://schemas.microsoft.com/office/drawing/2014/main" id="{F0CA0E78-D24F-426D-8BF8-EB211B54D9BA}"/>
            </a:ext>
          </a:extLst>
        </xdr:cNvPr>
        <xdr:cNvSpPr txBox="1"/>
      </xdr:nvSpPr>
      <xdr:spPr>
        <a:xfrm>
          <a:off x="2806701" y="831850"/>
          <a:ext cx="14795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9A7BFDA-FE1D-475A-8B89-08715E27EB04}" type="TxLink">
            <a:rPr lang="en-US" sz="1400" b="0" i="0" u="none" strike="noStrike">
              <a:solidFill>
                <a:srgbClr val="000000"/>
              </a:solidFill>
              <a:latin typeface="Calibri"/>
              <a:ea typeface="Calibri"/>
              <a:cs typeface="Calibri"/>
            </a:rPr>
            <a:pPr algn="ctr"/>
            <a:t>35.26</a:t>
          </a:fld>
          <a:endParaRPr lang="en-IN" sz="3600" b="0"/>
        </a:p>
      </xdr:txBody>
    </xdr:sp>
    <xdr:clientData/>
  </xdr:twoCellAnchor>
  <xdr:twoCellAnchor editAs="absolute">
    <xdr:from>
      <xdr:col>4</xdr:col>
      <xdr:colOff>381001</xdr:colOff>
      <xdr:row>5</xdr:row>
      <xdr:rowOff>114300</xdr:rowOff>
    </xdr:from>
    <xdr:to>
      <xdr:col>7</xdr:col>
      <xdr:colOff>69853</xdr:colOff>
      <xdr:row>6</xdr:row>
      <xdr:rowOff>127000</xdr:rowOff>
    </xdr:to>
    <xdr:sp macro="" textlink="">
      <xdr:nvSpPr>
        <xdr:cNvPr id="27" name="TextBox 26">
          <a:extLst>
            <a:ext uri="{FF2B5EF4-FFF2-40B4-BE49-F238E27FC236}">
              <a16:creationId xmlns:a16="http://schemas.microsoft.com/office/drawing/2014/main" id="{8535E53F-ACE0-4204-8238-B6ADB95AC533}"/>
            </a:ext>
          </a:extLst>
        </xdr:cNvPr>
        <xdr:cNvSpPr txBox="1"/>
      </xdr:nvSpPr>
      <xdr:spPr>
        <a:xfrm>
          <a:off x="2819401" y="1035050"/>
          <a:ext cx="1517652"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t>Average</a:t>
          </a:r>
          <a:r>
            <a:rPr lang="en-IN" sz="1200" b="0" baseline="0"/>
            <a:t> Wait </a:t>
          </a:r>
          <a:r>
            <a:rPr lang="en-IN" sz="1100" b="0" baseline="0"/>
            <a:t>Time</a:t>
          </a:r>
          <a:endParaRPr lang="en-IN" sz="1200" b="0"/>
        </a:p>
      </xdr:txBody>
    </xdr:sp>
    <xdr:clientData/>
  </xdr:twoCellAnchor>
  <xdr:twoCellAnchor editAs="absolute">
    <xdr:from>
      <xdr:col>7</xdr:col>
      <xdr:colOff>57150</xdr:colOff>
      <xdr:row>4</xdr:row>
      <xdr:rowOff>63500</xdr:rowOff>
    </xdr:from>
    <xdr:to>
      <xdr:col>9</xdr:col>
      <xdr:colOff>298452</xdr:colOff>
      <xdr:row>5</xdr:row>
      <xdr:rowOff>133350</xdr:rowOff>
    </xdr:to>
    <xdr:sp macro="" textlink="'Pivot Table'!A11">
      <xdr:nvSpPr>
        <xdr:cNvPr id="28" name="TextBox 27">
          <a:extLst>
            <a:ext uri="{FF2B5EF4-FFF2-40B4-BE49-F238E27FC236}">
              <a16:creationId xmlns:a16="http://schemas.microsoft.com/office/drawing/2014/main" id="{9799503D-11F6-46A1-AFDF-7EF323C296AC}"/>
            </a:ext>
          </a:extLst>
        </xdr:cNvPr>
        <xdr:cNvSpPr txBox="1"/>
      </xdr:nvSpPr>
      <xdr:spPr>
        <a:xfrm>
          <a:off x="4324350" y="800100"/>
          <a:ext cx="146050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541AC61-27F1-4829-ABE7-D45DCC327050}" type="TxLink">
            <a:rPr lang="en-US" sz="1400" b="0" i="0" u="none" strike="noStrike">
              <a:solidFill>
                <a:srgbClr val="000000"/>
              </a:solidFill>
              <a:latin typeface="Calibri"/>
              <a:ea typeface="Calibri"/>
              <a:cs typeface="Calibri"/>
            </a:rPr>
            <a:pPr algn="ctr"/>
            <a:t>4.99</a:t>
          </a:fld>
          <a:endParaRPr lang="en-IN" sz="3600" b="0"/>
        </a:p>
      </xdr:txBody>
    </xdr:sp>
    <xdr:clientData/>
  </xdr:twoCellAnchor>
  <xdr:twoCellAnchor editAs="absolute">
    <xdr:from>
      <xdr:col>7</xdr:col>
      <xdr:colOff>127000</xdr:colOff>
      <xdr:row>5</xdr:row>
      <xdr:rowOff>95250</xdr:rowOff>
    </xdr:from>
    <xdr:to>
      <xdr:col>9</xdr:col>
      <xdr:colOff>381000</xdr:colOff>
      <xdr:row>6</xdr:row>
      <xdr:rowOff>165100</xdr:rowOff>
    </xdr:to>
    <xdr:sp macro="" textlink="">
      <xdr:nvSpPr>
        <xdr:cNvPr id="29" name="TextBox 28">
          <a:extLst>
            <a:ext uri="{FF2B5EF4-FFF2-40B4-BE49-F238E27FC236}">
              <a16:creationId xmlns:a16="http://schemas.microsoft.com/office/drawing/2014/main" id="{D44BA0A6-6FF8-4A49-86D2-A2ED1CEEF0ED}"/>
            </a:ext>
          </a:extLst>
        </xdr:cNvPr>
        <xdr:cNvSpPr txBox="1"/>
      </xdr:nvSpPr>
      <xdr:spPr>
        <a:xfrm>
          <a:off x="4394200" y="1016000"/>
          <a:ext cx="14732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Patient Satisfaction</a:t>
          </a:r>
          <a:r>
            <a:rPr lang="en-IN" sz="1100" b="0" baseline="0"/>
            <a:t> Score</a:t>
          </a:r>
          <a:endParaRPr lang="en-IN" sz="1200" b="0"/>
        </a:p>
      </xdr:txBody>
    </xdr:sp>
    <xdr:clientData/>
  </xdr:twoCellAnchor>
  <xdr:twoCellAnchor editAs="oneCell">
    <xdr:from>
      <xdr:col>3</xdr:col>
      <xdr:colOff>552450</xdr:colOff>
      <xdr:row>4</xdr:row>
      <xdr:rowOff>38100</xdr:rowOff>
    </xdr:from>
    <xdr:to>
      <xdr:col>4</xdr:col>
      <xdr:colOff>247650</xdr:colOff>
      <xdr:row>5</xdr:row>
      <xdr:rowOff>158750</xdr:rowOff>
    </xdr:to>
    <xdr:pic>
      <xdr:nvPicPr>
        <xdr:cNvPr id="31" name="Graphic 30" descr="Male profile with solid fill">
          <a:extLst>
            <a:ext uri="{FF2B5EF4-FFF2-40B4-BE49-F238E27FC236}">
              <a16:creationId xmlns:a16="http://schemas.microsoft.com/office/drawing/2014/main" id="{ECA3117B-1ECE-C7C0-2CDE-84F9F229588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81250" y="774700"/>
          <a:ext cx="304800" cy="304800"/>
        </a:xfrm>
        <a:prstGeom prst="rect">
          <a:avLst/>
        </a:prstGeom>
      </xdr:spPr>
    </xdr:pic>
    <xdr:clientData/>
  </xdr:twoCellAnchor>
  <xdr:twoCellAnchor editAs="oneCell">
    <xdr:from>
      <xdr:col>6</xdr:col>
      <xdr:colOff>368300</xdr:colOff>
      <xdr:row>4</xdr:row>
      <xdr:rowOff>69850</xdr:rowOff>
    </xdr:from>
    <xdr:to>
      <xdr:col>7</xdr:col>
      <xdr:colOff>69850</xdr:colOff>
      <xdr:row>5</xdr:row>
      <xdr:rowOff>165100</xdr:rowOff>
    </xdr:to>
    <xdr:pic>
      <xdr:nvPicPr>
        <xdr:cNvPr id="33" name="Graphic 32" descr="Stopwatch with solid fill">
          <a:extLst>
            <a:ext uri="{FF2B5EF4-FFF2-40B4-BE49-F238E27FC236}">
              <a16:creationId xmlns:a16="http://schemas.microsoft.com/office/drawing/2014/main" id="{0EA7E8AB-2B07-4699-7789-392B78BD1CE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25900" y="806450"/>
          <a:ext cx="311150" cy="279400"/>
        </a:xfrm>
        <a:prstGeom prst="rect">
          <a:avLst/>
        </a:prstGeom>
      </xdr:spPr>
    </xdr:pic>
    <xdr:clientData/>
  </xdr:twoCellAnchor>
  <xdr:twoCellAnchor editAs="oneCell">
    <xdr:from>
      <xdr:col>9</xdr:col>
      <xdr:colOff>0</xdr:colOff>
      <xdr:row>4</xdr:row>
      <xdr:rowOff>95250</xdr:rowOff>
    </xdr:from>
    <xdr:to>
      <xdr:col>9</xdr:col>
      <xdr:colOff>330475</xdr:colOff>
      <xdr:row>5</xdr:row>
      <xdr:rowOff>177800</xdr:rowOff>
    </xdr:to>
    <xdr:pic>
      <xdr:nvPicPr>
        <xdr:cNvPr id="35" name="Graphic 34" descr="Customer review with solid fill">
          <a:extLst>
            <a:ext uri="{FF2B5EF4-FFF2-40B4-BE49-F238E27FC236}">
              <a16:creationId xmlns:a16="http://schemas.microsoft.com/office/drawing/2014/main" id="{2789D027-7415-D218-802C-A023802D95C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86400" y="831850"/>
          <a:ext cx="330475" cy="266700"/>
        </a:xfrm>
        <a:prstGeom prst="rect">
          <a:avLst/>
        </a:prstGeom>
      </xdr:spPr>
    </xdr:pic>
    <xdr:clientData/>
  </xdr:twoCellAnchor>
  <xdr:twoCellAnchor editAs="oneCell">
    <xdr:from>
      <xdr:col>0</xdr:col>
      <xdr:colOff>133350</xdr:colOff>
      <xdr:row>4</xdr:row>
      <xdr:rowOff>133350</xdr:rowOff>
    </xdr:from>
    <xdr:to>
      <xdr:col>1</xdr:col>
      <xdr:colOff>444750</xdr:colOff>
      <xdr:row>19</xdr:row>
      <xdr:rowOff>71100</xdr:rowOff>
    </xdr:to>
    <mc:AlternateContent xmlns:mc="http://schemas.openxmlformats.org/markup-compatibility/2006">
      <mc:Choice xmlns:a14="http://schemas.microsoft.com/office/drawing/2010/main" Requires="a14">
        <xdr:graphicFrame macro="">
          <xdr:nvGraphicFramePr>
            <xdr:cNvPr id="37" name="Mon">
              <a:extLst>
                <a:ext uri="{FF2B5EF4-FFF2-40B4-BE49-F238E27FC236}">
                  <a16:creationId xmlns:a16="http://schemas.microsoft.com/office/drawing/2014/main" id="{A61D77E9-6041-430F-9601-CB3399F56F65}"/>
                </a:ext>
              </a:extLst>
            </xdr:cNvPr>
            <xdr:cNvGraphicFramePr/>
          </xdr:nvGraphicFramePr>
          <xdr:xfrm>
            <a:off x="0" y="0"/>
            <a:ext cx="0" cy="0"/>
          </xdr:xfrm>
          <a:graphic>
            <a:graphicData uri="http://schemas.microsoft.com/office/drawing/2010/slicer">
              <sle:slicer xmlns:sle="http://schemas.microsoft.com/office/drawing/2010/slicer" name="Mon"/>
            </a:graphicData>
          </a:graphic>
        </xdr:graphicFrame>
      </mc:Choice>
      <mc:Fallback>
        <xdr:sp macro="" textlink="">
          <xdr:nvSpPr>
            <xdr:cNvPr id="0" name=""/>
            <xdr:cNvSpPr>
              <a:spLocks noTextEdit="1"/>
            </xdr:cNvSpPr>
          </xdr:nvSpPr>
          <xdr:spPr>
            <a:xfrm>
              <a:off x="133350" y="862924"/>
              <a:ext cx="919379" cy="26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44450</xdr:colOff>
      <xdr:row>6</xdr:row>
      <xdr:rowOff>95250</xdr:rowOff>
    </xdr:from>
    <xdr:to>
      <xdr:col>4</xdr:col>
      <xdr:colOff>177800</xdr:colOff>
      <xdr:row>7</xdr:row>
      <xdr:rowOff>158750</xdr:rowOff>
    </xdr:to>
    <xdr:graphicFrame macro="">
      <xdr:nvGraphicFramePr>
        <xdr:cNvPr id="26" name="Chart 25">
          <a:hlinkClick xmlns:r="http://schemas.openxmlformats.org/officeDocument/2006/relationships" r:id="rId8"/>
          <a:extLst>
            <a:ext uri="{FF2B5EF4-FFF2-40B4-BE49-F238E27FC236}">
              <a16:creationId xmlns:a16="http://schemas.microsoft.com/office/drawing/2014/main" id="{9FCFF1D3-B6B8-41A9-99D3-D3C45554C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400050</xdr:colOff>
      <xdr:row>6</xdr:row>
      <xdr:rowOff>133350</xdr:rowOff>
    </xdr:from>
    <xdr:to>
      <xdr:col>7</xdr:col>
      <xdr:colOff>31750</xdr:colOff>
      <xdr:row>7</xdr:row>
      <xdr:rowOff>146050</xdr:rowOff>
    </xdr:to>
    <xdr:graphicFrame macro="">
      <xdr:nvGraphicFramePr>
        <xdr:cNvPr id="30" name="Chart 29">
          <a:hlinkClick xmlns:r="http://schemas.openxmlformats.org/officeDocument/2006/relationships" r:id="rId8"/>
          <a:extLst>
            <a:ext uri="{FF2B5EF4-FFF2-40B4-BE49-F238E27FC236}">
              <a16:creationId xmlns:a16="http://schemas.microsoft.com/office/drawing/2014/main" id="{018C6FD0-BD3C-43AD-B17C-37ADE3779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133350</xdr:colOff>
      <xdr:row>6</xdr:row>
      <xdr:rowOff>127000</xdr:rowOff>
    </xdr:from>
    <xdr:to>
      <xdr:col>9</xdr:col>
      <xdr:colOff>393700</xdr:colOff>
      <xdr:row>7</xdr:row>
      <xdr:rowOff>146050</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14B5893C-E081-47D7-A3D5-B368BA1C7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6350</xdr:colOff>
      <xdr:row>12</xdr:row>
      <xdr:rowOff>57150</xdr:rowOff>
    </xdr:from>
    <xdr:to>
      <xdr:col>9</xdr:col>
      <xdr:colOff>342900</xdr:colOff>
      <xdr:row>19</xdr:row>
      <xdr:rowOff>165100</xdr:rowOff>
    </xdr:to>
    <xdr:graphicFrame macro="">
      <xdr:nvGraphicFramePr>
        <xdr:cNvPr id="38" name="Chart 37">
          <a:extLst>
            <a:ext uri="{FF2B5EF4-FFF2-40B4-BE49-F238E27FC236}">
              <a16:creationId xmlns:a16="http://schemas.microsoft.com/office/drawing/2014/main" id="{1570A5A2-90B6-4714-88AC-E1BC8B478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457200</xdr:colOff>
      <xdr:row>0</xdr:row>
      <xdr:rowOff>63500</xdr:rowOff>
    </xdr:from>
    <xdr:to>
      <xdr:col>12</xdr:col>
      <xdr:colOff>546100</xdr:colOff>
      <xdr:row>9</xdr:row>
      <xdr:rowOff>133350</xdr:rowOff>
    </xdr:to>
    <xdr:graphicFrame macro="">
      <xdr:nvGraphicFramePr>
        <xdr:cNvPr id="39" name="Chart 38">
          <a:extLst>
            <a:ext uri="{FF2B5EF4-FFF2-40B4-BE49-F238E27FC236}">
              <a16:creationId xmlns:a16="http://schemas.microsoft.com/office/drawing/2014/main" id="{9555F88C-CB66-44E2-9188-59A6AD8BC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10</xdr:col>
      <xdr:colOff>101600</xdr:colOff>
      <xdr:row>8</xdr:row>
      <xdr:rowOff>69850</xdr:rowOff>
    </xdr:from>
    <xdr:to>
      <xdr:col>12</xdr:col>
      <xdr:colOff>418725</xdr:colOff>
      <xdr:row>10</xdr:row>
      <xdr:rowOff>280</xdr:rowOff>
    </xdr:to>
    <xdr:pic>
      <xdr:nvPicPr>
        <xdr:cNvPr id="42" name="Picture 41">
          <a:extLst>
            <a:ext uri="{FF2B5EF4-FFF2-40B4-BE49-F238E27FC236}">
              <a16:creationId xmlns:a16="http://schemas.microsoft.com/office/drawing/2014/main" id="{1F1E0455-79BC-8E17-8181-60F9FB7CCF95}"/>
            </a:ext>
          </a:extLst>
        </xdr:cNvPr>
        <xdr:cNvPicPr>
          <a:picLocks noChangeAspect="1"/>
        </xdr:cNvPicPr>
      </xdr:nvPicPr>
      <xdr:blipFill>
        <a:blip xmlns:r="http://schemas.openxmlformats.org/officeDocument/2006/relationships" r:embed="rId14"/>
        <a:stretch>
          <a:fillRect/>
        </a:stretch>
      </xdr:blipFill>
      <xdr:spPr>
        <a:xfrm>
          <a:off x="6197600" y="1543050"/>
          <a:ext cx="1536325" cy="298730"/>
        </a:xfrm>
        <a:prstGeom prst="rect">
          <a:avLst/>
        </a:prstGeom>
      </xdr:spPr>
    </xdr:pic>
    <xdr:clientData/>
  </xdr:twoCellAnchor>
  <xdr:twoCellAnchor>
    <xdr:from>
      <xdr:col>9</xdr:col>
      <xdr:colOff>501650</xdr:colOff>
      <xdr:row>10</xdr:row>
      <xdr:rowOff>101600</xdr:rowOff>
    </xdr:from>
    <xdr:to>
      <xdr:col>16</xdr:col>
      <xdr:colOff>133350</xdr:colOff>
      <xdr:row>19</xdr:row>
      <xdr:rowOff>76200</xdr:rowOff>
    </xdr:to>
    <xdr:graphicFrame macro="">
      <xdr:nvGraphicFramePr>
        <xdr:cNvPr id="44" name="Chart 43">
          <a:extLst>
            <a:ext uri="{FF2B5EF4-FFF2-40B4-BE49-F238E27FC236}">
              <a16:creationId xmlns:a16="http://schemas.microsoft.com/office/drawing/2014/main" id="{3E7FA2E8-3BC3-4295-AF41-F023FD716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13</xdr:col>
      <xdr:colOff>2208</xdr:colOff>
      <xdr:row>0</xdr:row>
      <xdr:rowOff>31750</xdr:rowOff>
    </xdr:from>
    <xdr:to>
      <xdr:col>16</xdr:col>
      <xdr:colOff>114300</xdr:colOff>
      <xdr:row>10</xdr:row>
      <xdr:rowOff>0</xdr:rowOff>
    </xdr:to>
    <xdr:graphicFrame macro="">
      <xdr:nvGraphicFramePr>
        <xdr:cNvPr id="8" name="Chart 7">
          <a:extLst>
            <a:ext uri="{FF2B5EF4-FFF2-40B4-BE49-F238E27FC236}">
              <a16:creationId xmlns:a16="http://schemas.microsoft.com/office/drawing/2014/main" id="{E576FEEE-24DF-4D65-ABA7-5DD7269DE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60799</xdr:colOff>
      <xdr:row>0</xdr:row>
      <xdr:rowOff>50395</xdr:rowOff>
    </xdr:from>
    <xdr:to>
      <xdr:col>1</xdr:col>
      <xdr:colOff>533670</xdr:colOff>
      <xdr:row>3</xdr:row>
      <xdr:rowOff>158345</xdr:rowOff>
    </xdr:to>
    <xdr:sp macro="" textlink="">
      <xdr:nvSpPr>
        <xdr:cNvPr id="10" name="Rectangle: Rounded Corners 9">
          <a:extLst>
            <a:ext uri="{FF2B5EF4-FFF2-40B4-BE49-F238E27FC236}">
              <a16:creationId xmlns:a16="http://schemas.microsoft.com/office/drawing/2014/main" id="{6316B9A6-D1E1-FE78-CB6A-E74F01866A5F}"/>
            </a:ext>
          </a:extLst>
        </xdr:cNvPr>
        <xdr:cNvSpPr/>
      </xdr:nvSpPr>
      <xdr:spPr>
        <a:xfrm>
          <a:off x="60799" y="50395"/>
          <a:ext cx="1080850" cy="65513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0</xdr:col>
      <xdr:colOff>67554</xdr:colOff>
      <xdr:row>0</xdr:row>
      <xdr:rowOff>53983</xdr:rowOff>
    </xdr:from>
    <xdr:to>
      <xdr:col>1</xdr:col>
      <xdr:colOff>526915</xdr:colOff>
      <xdr:row>3</xdr:row>
      <xdr:rowOff>154802</xdr:rowOff>
    </xdr:to>
    <mc:AlternateContent xmlns:mc="http://schemas.openxmlformats.org/markup-compatibility/2006">
      <mc:Choice xmlns:a14="http://schemas.microsoft.com/office/drawing/2010/main" Requires="a14">
        <xdr:graphicFrame macro="">
          <xdr:nvGraphicFramePr>
            <xdr:cNvPr id="14" name="Date (Year)">
              <a:extLst>
                <a:ext uri="{FF2B5EF4-FFF2-40B4-BE49-F238E27FC236}">
                  <a16:creationId xmlns:a16="http://schemas.microsoft.com/office/drawing/2014/main" id="{E584B624-C4E8-4B16-9E66-A94CF45B638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7554" y="53983"/>
              <a:ext cx="106734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6350</xdr:colOff>
          <xdr:row>8</xdr:row>
          <xdr:rowOff>82550</xdr:rowOff>
        </xdr:from>
        <xdr:to>
          <xdr:col>9</xdr:col>
          <xdr:colOff>355600</xdr:colOff>
          <xdr:row>11</xdr:row>
          <xdr:rowOff>165100</xdr:rowOff>
        </xdr:to>
        <xdr:pic>
          <xdr:nvPicPr>
            <xdr:cNvPr id="19" name="Picture 18">
              <a:extLst>
                <a:ext uri="{FF2B5EF4-FFF2-40B4-BE49-F238E27FC236}">
                  <a16:creationId xmlns:a16="http://schemas.microsoft.com/office/drawing/2014/main" id="{4B77D20A-AAEE-B234-8EAE-764012E196B9}"/>
                </a:ext>
              </a:extLst>
            </xdr:cNvPr>
            <xdr:cNvPicPr>
              <a:picLocks noChangeAspect="1" noChangeArrowheads="1"/>
              <a:extLst>
                <a:ext uri="{84589F7E-364E-4C9E-8A38-B11213B215E9}">
                  <a14:cameraTool cellRange="'Pivot Table'!$L$13:$O$15" spid="_x0000_s2081"/>
                </a:ext>
              </a:extLst>
            </xdr:cNvPicPr>
          </xdr:nvPicPr>
          <xdr:blipFill>
            <a:blip xmlns:r="http://schemas.openxmlformats.org/officeDocument/2006/relationships" r:embed="rId17"/>
            <a:srcRect/>
            <a:stretch>
              <a:fillRect/>
            </a:stretch>
          </xdr:blipFill>
          <xdr:spPr bwMode="auto">
            <a:xfrm>
              <a:off x="1225550" y="1555750"/>
              <a:ext cx="4616450" cy="635000"/>
            </a:xfrm>
            <a:prstGeom prst="rect">
              <a:avLst/>
            </a:prstGeom>
            <a:solidFill>
              <a:schemeClr val="accent4">
                <a:lumMod val="60000"/>
                <a:lumOff val="40000"/>
              </a:schemeClr>
            </a:solidFill>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0.24966</cdr:x>
      <cdr:y>0.79</cdr:y>
    </cdr:from>
    <cdr:to>
      <cdr:x>0.64296</cdr:x>
      <cdr:y>1</cdr:y>
    </cdr:to>
    <cdr:pic>
      <cdr:nvPicPr>
        <cdr:cNvPr id="3" name="chart">
          <a:extLst xmlns:a="http://schemas.openxmlformats.org/drawingml/2006/main">
            <a:ext uri="{FF2B5EF4-FFF2-40B4-BE49-F238E27FC236}">
              <a16:creationId xmlns:a16="http://schemas.microsoft.com/office/drawing/2014/main" id="{6431D2C1-CAF8-B6FD-B0C7-5314D54FEEB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49350" y="1003300"/>
          <a:ext cx="1810669" cy="26670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0.07655</cdr:x>
      <cdr:y>0.85214</cdr:y>
    </cdr:from>
    <cdr:to>
      <cdr:x>0.90228</cdr:x>
      <cdr:y>1</cdr:y>
    </cdr:to>
    <cdr:sp macro="" textlink="">
      <cdr:nvSpPr>
        <cdr:cNvPr id="2" name="TextBox 28">
          <a:extLst xmlns:a="http://schemas.openxmlformats.org/drawingml/2006/main">
            <a:ext uri="{FF2B5EF4-FFF2-40B4-BE49-F238E27FC236}">
              <a16:creationId xmlns:a16="http://schemas.microsoft.com/office/drawing/2014/main" id="{D44BA0A6-6FF8-4A49-86D2-A2ED1CEEF0ED}"/>
            </a:ext>
          </a:extLst>
        </cdr:cNvPr>
        <cdr:cNvSpPr txBox="1"/>
      </cdr:nvSpPr>
      <cdr:spPr>
        <a:xfrm xmlns:a="http://schemas.openxmlformats.org/drawingml/2006/main">
          <a:off x="298450" y="1390650"/>
          <a:ext cx="3219450" cy="2413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0"/>
            <a:t>NO.</a:t>
          </a:r>
          <a:r>
            <a:rPr lang="en-IN" sz="1100" b="0" baseline="0"/>
            <a:t> of Patient Refer by Department</a:t>
          </a:r>
          <a:endParaRPr lang="en-IN" sz="1200" b="0"/>
        </a:p>
      </cdr:txBody>
    </cdr:sp>
  </cdr:relSizeAnchor>
</c:userShapes>
</file>

<file path=xl/drawings/drawing5.xml><?xml version="1.0" encoding="utf-8"?>
<c:userShapes xmlns:c="http://schemas.openxmlformats.org/drawingml/2006/chart">
  <cdr:relSizeAnchor xmlns:cdr="http://schemas.openxmlformats.org/drawingml/2006/chartDrawing">
    <cdr:from>
      <cdr:x>0.13712</cdr:x>
      <cdr:y>0.85978</cdr:y>
    </cdr:from>
    <cdr:to>
      <cdr:x>0.91304</cdr:x>
      <cdr:y>1</cdr:y>
    </cdr:to>
    <cdr:sp macro="" textlink="">
      <cdr:nvSpPr>
        <cdr:cNvPr id="2" name="TextBox 28">
          <a:extLst xmlns:a="http://schemas.openxmlformats.org/drawingml/2006/main">
            <a:ext uri="{FF2B5EF4-FFF2-40B4-BE49-F238E27FC236}">
              <a16:creationId xmlns:a16="http://schemas.microsoft.com/office/drawing/2014/main" id="{D44BA0A6-6FF8-4A49-86D2-A2ED1CEEF0ED}"/>
            </a:ext>
          </a:extLst>
        </cdr:cNvPr>
        <cdr:cNvSpPr txBox="1"/>
      </cdr:nvSpPr>
      <cdr:spPr>
        <a:xfrm xmlns:a="http://schemas.openxmlformats.org/drawingml/2006/main">
          <a:off x="260350" y="1479550"/>
          <a:ext cx="1473200" cy="2413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0"/>
            <a:t>Gender</a:t>
          </a:r>
          <a:r>
            <a:rPr lang="en-IN" sz="1100" b="0" baseline="0"/>
            <a:t> wise Analysis</a:t>
          </a:r>
          <a:endParaRPr lang="en-IN" sz="1200" b="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114300</xdr:rowOff>
    </xdr:from>
    <xdr:to>
      <xdr:col>6</xdr:col>
      <xdr:colOff>63500</xdr:colOff>
      <xdr:row>12</xdr:row>
      <xdr:rowOff>165100</xdr:rowOff>
    </xdr:to>
    <xdr:graphicFrame macro="">
      <xdr:nvGraphicFramePr>
        <xdr:cNvPr id="2" name="Chart 1">
          <a:extLst>
            <a:ext uri="{FF2B5EF4-FFF2-40B4-BE49-F238E27FC236}">
              <a16:creationId xmlns:a16="http://schemas.microsoft.com/office/drawing/2014/main" id="{E1462D72-A863-42CB-958A-4EF82E541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387350</xdr:colOff>
      <xdr:row>0</xdr:row>
      <xdr:rowOff>63500</xdr:rowOff>
    </xdr:from>
    <xdr:to>
      <xdr:col>19</xdr:col>
      <xdr:colOff>89150</xdr:colOff>
      <xdr:row>14</xdr:row>
      <xdr:rowOff>152400</xdr:rowOff>
    </xdr:to>
    <mc:AlternateContent xmlns:mc="http://schemas.openxmlformats.org/markup-compatibility/2006" xmlns:a14="http://schemas.microsoft.com/office/drawing/2010/main">
      <mc:Choice Requires="a14">
        <xdr:graphicFrame macro="">
          <xdr:nvGraphicFramePr>
            <xdr:cNvPr id="4" name="Mon 1">
              <a:extLst>
                <a:ext uri="{FF2B5EF4-FFF2-40B4-BE49-F238E27FC236}">
                  <a16:creationId xmlns:a16="http://schemas.microsoft.com/office/drawing/2014/main" id="{88853BB3-0D87-45CF-B213-651FF69BC2BB}"/>
                </a:ext>
              </a:extLst>
            </xdr:cNvPr>
            <xdr:cNvGraphicFramePr/>
          </xdr:nvGraphicFramePr>
          <xdr:xfrm>
            <a:off x="0" y="0"/>
            <a:ext cx="0" cy="0"/>
          </xdr:xfrm>
          <a:graphic>
            <a:graphicData uri="http://schemas.microsoft.com/office/drawing/2010/slicer">
              <sle:slicer xmlns:sle="http://schemas.microsoft.com/office/drawing/2010/slicer" name="Mon 1"/>
            </a:graphicData>
          </a:graphic>
        </xdr:graphicFrame>
      </mc:Choice>
      <mc:Fallback xmlns="">
        <xdr:sp macro="" textlink="">
          <xdr:nvSpPr>
            <xdr:cNvPr id="0" name=""/>
            <xdr:cNvSpPr>
              <a:spLocks noTextEdit="1"/>
            </xdr:cNvSpPr>
          </xdr:nvSpPr>
          <xdr:spPr>
            <a:xfrm>
              <a:off x="10750550" y="63500"/>
              <a:ext cx="9210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552450</xdr:colOff>
      <xdr:row>16</xdr:row>
      <xdr:rowOff>95250</xdr:rowOff>
    </xdr:from>
    <xdr:to>
      <xdr:col>12</xdr:col>
      <xdr:colOff>533400</xdr:colOff>
      <xdr:row>18</xdr:row>
      <xdr:rowOff>25400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8AA9FFD-2A9F-2834-1CCA-A658DEE3EE2F}"/>
            </a:ext>
          </a:extLst>
        </xdr:cNvPr>
        <xdr:cNvSpPr/>
      </xdr:nvSpPr>
      <xdr:spPr>
        <a:xfrm>
          <a:off x="6648450" y="3041650"/>
          <a:ext cx="1200150" cy="298450"/>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25400" dir="5400000" algn="ctr" rotWithShape="0">
                  <a:srgbClr val="6E747A">
                    <a:alpha val="43000"/>
                  </a:srgbClr>
                </a:outerShdw>
              </a:effectLst>
            </a:rPr>
            <a:t>Go to</a:t>
          </a:r>
          <a:r>
            <a:rPr lang="en-IN" sz="1100" b="0" cap="none" spc="0" baseline="0">
              <a:ln w="0"/>
              <a:solidFill>
                <a:schemeClr val="tx1"/>
              </a:solidFill>
              <a:effectLst>
                <a:outerShdw blurRad="38100" dist="25400" dir="5400000" algn="ctr" rotWithShape="0">
                  <a:srgbClr val="6E747A">
                    <a:alpha val="43000"/>
                  </a:srgbClr>
                </a:outerShdw>
              </a:effectLst>
            </a:rPr>
            <a:t> Dashboard</a:t>
          </a:r>
          <a:endParaRPr lang="en-IN" sz="11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6</xdr:col>
      <xdr:colOff>139700</xdr:colOff>
      <xdr:row>0</xdr:row>
      <xdr:rowOff>107950</xdr:rowOff>
    </xdr:from>
    <xdr:to>
      <xdr:col>12</xdr:col>
      <xdr:colOff>50800</xdr:colOff>
      <xdr:row>12</xdr:row>
      <xdr:rowOff>177800</xdr:rowOff>
    </xdr:to>
    <xdr:graphicFrame macro="">
      <xdr:nvGraphicFramePr>
        <xdr:cNvPr id="6" name="Chart 5">
          <a:extLst>
            <a:ext uri="{FF2B5EF4-FFF2-40B4-BE49-F238E27FC236}">
              <a16:creationId xmlns:a16="http://schemas.microsoft.com/office/drawing/2014/main" id="{7021B8AD-B442-4B90-BC39-D11483E6A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127000</xdr:colOff>
      <xdr:row>0</xdr:row>
      <xdr:rowOff>114300</xdr:rowOff>
    </xdr:from>
    <xdr:to>
      <xdr:col>17</xdr:col>
      <xdr:colOff>292100</xdr:colOff>
      <xdr:row>12</xdr:row>
      <xdr:rowOff>171450</xdr:rowOff>
    </xdr:to>
    <xdr:graphicFrame macro="">
      <xdr:nvGraphicFramePr>
        <xdr:cNvPr id="7" name="Chart 6">
          <a:extLst>
            <a:ext uri="{FF2B5EF4-FFF2-40B4-BE49-F238E27FC236}">
              <a16:creationId xmlns:a16="http://schemas.microsoft.com/office/drawing/2014/main" id="{DDFDBFD3-AB71-48EA-8B59-211249A0E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5833332" backgroundQuery="1" createdVersion="8" refreshedVersion="8" minRefreshableVersion="3" recordCount="0" supportSubquery="1" supportAdvancedDrill="1" xr:uid="{714B957D-195F-43CF-B0AA-8E2B457DD64B}">
  <cacheSource type="external" connectionId="3"/>
  <cacheFields count="3">
    <cacheField name="[Calender].[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Count of Patient Id]" caption="Count of Patient Id" numFmtId="0" hierarchy="25"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5949071" backgroundQuery="1" createdVersion="8" refreshedVersion="8" minRefreshableVersion="3" recordCount="0" supportSubquery="1" supportAdvancedDrill="1" xr:uid="{FF8FA44D-AD03-4E24-8A7B-6BAA70900344}">
  <cacheSource type="external" connectionId="3"/>
  <cacheFields count="2">
    <cacheField name="[Measures].[Count of Patient Id]" caption="Count of Patient Id" numFmtId="0" hierarchy="25"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5949071" backgroundQuery="1" createdVersion="8" refreshedVersion="8" minRefreshableVersion="3" recordCount="0" supportSubquery="1" supportAdvancedDrill="1" xr:uid="{45001E68-1066-438F-A228-D423B6D4F8CD}">
  <cacheSource type="external" connectionId="3"/>
  <cacheFields count="2">
    <cacheField name="[Measures].[Average of Patient Waittime]" caption="Average of Patient Waittime" numFmtId="0" hierarchy="28"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6180555" backgroundQuery="1" createdVersion="8" refreshedVersion="8" minRefreshableVersion="3" recordCount="0" supportSubquery="1" supportAdvancedDrill="1" xr:uid="{E2E3293F-BFDE-4FC0-8839-15FAE3F353C7}">
  <cacheSource type="external" connectionId="3"/>
  <cacheFields count="2">
    <cacheField name="[Measures].[Average of Patient Satisfaction Score]" caption="Average of Patient Satisfaction Score" numFmtId="0" hierarchy="30"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6759256" backgroundQuery="1" createdVersion="8" refreshedVersion="8" minRefreshableVersion="3" recordCount="0" supportSubquery="1" supportAdvancedDrill="1" xr:uid="{A63C86AD-551A-4E87-B321-E1CC1067874D}">
  <cacheSource type="external" connectionId="3"/>
  <cacheFields count="3">
    <cacheField name="[Calender].[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8"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7106479" backgroundQuery="1" createdVersion="8" refreshedVersion="8" minRefreshableVersion="3" recordCount="0" supportSubquery="1" supportAdvancedDrill="1" xr:uid="{427E85ED-5B1E-4B0D-89F8-5F073F7631AB}">
  <cacheSource type="external" connectionId="3"/>
  <cacheFields count="3">
    <cacheField name="[Calender].[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30"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7453702" backgroundQuery="1" createdVersion="8" refreshedVersion="8" minRefreshableVersion="3" recordCount="0" supportSubquery="1" supportAdvancedDrill="1" xr:uid="{E5A44949-BE0E-426F-97E2-EC7E19FFF7AB}">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2" level="32767"/>
    <cacheField name="[Calender].[Date (Month)].[Date (Month)]" caption="Date (Month)" numFmtId="0" hierarchy="1"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7800926" backgroundQuery="1" createdVersion="8" refreshedVersion="8" minRefreshableVersion="3" recordCount="0" supportSubquery="1" supportAdvancedDrill="1" xr:uid="{C9939003-60C9-4621-BB6C-37B8BFA01E7B}">
  <cacheSource type="external" connectionId="3"/>
  <cacheFields count="3">
    <cacheField name="[Hospital Emergency Room Data].[Age Group].[Age Group]" caption="Age Group" numFmtId="0" hierarchy="16" level="1">
      <sharedItems count="8">
        <s v="01-09"/>
        <s v="10-19"/>
        <s v="20-29"/>
        <s v="30-39"/>
        <s v="40-49"/>
        <s v="50-59"/>
        <s v="60-69"/>
        <s v="70-79"/>
      </sharedItems>
    </cacheField>
    <cacheField name="[Measures].[Count of Age Group]" caption="Count of Age Group" numFmtId="0" hierarchy="34"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8263888" backgroundQuery="1" createdVersion="8" refreshedVersion="8" minRefreshableVersion="3" recordCount="0" supportSubquery="1" supportAdvancedDrill="1" xr:uid="{E69A8626-345C-45BE-80EB-D3784F45BADF}">
  <cacheSource type="external" connectionId="3"/>
  <cacheFields count="3">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3"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8611111" backgroundQuery="1" createdVersion="8" refreshedVersion="8" minRefreshableVersion="3" recordCount="0" supportSubquery="1" supportAdvancedDrill="1" xr:uid="{B21A7DAF-39B9-4864-A294-17ED7092D5B0}">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6"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8958334" backgroundQuery="1" createdVersion="8" refreshedVersion="8" minRefreshableVersion="3" recordCount="0" supportSubquery="1" supportAdvancedDrill="1" xr:uid="{C3D34892-05D1-4A39-802C-FE19003453BB}">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6000.491349305557" backgroundQuery="1" createdVersion="8" refreshedVersion="8" minRefreshableVersion="3" recordCount="0" supportSubquery="1" supportAdvancedDrill="1" xr:uid="{3DB660C9-19ED-46A9-86DE-AE9B4B53E28E}">
  <cacheSource type="external" connectionId="3"/>
  <cacheFields count="4">
    <cacheField name="[Calender].[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Date (Month)].[Date (Month)]" caption="Date (Month)" numFmtId="0" hierarchy="1" level="1">
      <sharedItems count="12">
        <s v="Jan"/>
        <s v="Feb"/>
        <s v="Mar"/>
        <s v="Apr"/>
        <s v="May"/>
        <s v="Jun"/>
        <s v="Jul"/>
        <s v="Aug"/>
        <s v="Sep"/>
        <s v="Oct"/>
        <s v="Nov"/>
        <s v="Dec"/>
      </sharedItems>
    </cacheField>
    <cacheField name="[Calender].[Date (Quarter)].[Date (Quarter)]" caption="Date (Quarter)" numFmtId="0" hierarchy="4" level="1">
      <sharedItems count="4">
        <s v="Qtr1"/>
        <s v="Qtr2"/>
        <s v="Qtr3"/>
        <s v="Qtr4"/>
      </sharedItems>
    </cacheField>
    <cacheField name="[Calender].[Date (Year)].[Date (Year)]" caption="Date (Year)" numFmtId="0" hierarchy="3" level="1">
      <sharedItems count="2">
        <s v="2023"/>
        <s v="2024"/>
      </sharedItems>
    </cacheField>
  </cacheFields>
  <cacheHierarchies count="39">
    <cacheHierarchy uniqueName="[Calender].[Date]" caption="Date" attribute="1" time="1" defaultMemberUniqueName="[Calender].[Date].[All]" allUniqueName="[Calender].[Date].[All]" dimensionUniqueName="[Calender]" displayFolder="" count="2" memberValueDatatype="7" unbalanced="0">
      <fieldsUsage count="2">
        <fieldUsage x="-1"/>
        <fieldUsage x="0"/>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tg" refreshedDate="45999.74622951389" backgroundQuery="1" createdVersion="3" refreshedVersion="8" minRefreshableVersion="3" recordCount="0" supportSubquery="1" supportAdvancedDrill="1" xr:uid="{32D2D83F-16E0-4BDD-BCD2-2709608F5E84}">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Measure 2]" caption="Measure 2"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374107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44536-2AC9-4219-A0D7-36956BD91C51}" name="PivotTable5" cacheId="8" applyNumberFormats="0" applyBorderFormats="0" applyFontFormats="0" applyPatternFormats="0" applyAlignmentFormats="0" applyWidthHeightFormats="1" dataCaption="Values" tag="06114a51-58c1-46fc-9c74-07de6d7841c2" updatedVersion="8" minRefreshableVersion="3" subtotalHiddenItems="1" itemPrintTitles="1" createdVersion="8" indent="127" compact="0" compactData="0" multipleFieldFilters="0" chartFormat="150">
  <location ref="L30:M33"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2">
    <format dxfId="1">
      <pivotArea outline="0" collapsedLevelsAreSubtotals="1" fieldPosition="0"/>
    </format>
    <format dxfId="0">
      <pivotArea outline="0" fieldPosition="0">
        <references count="1">
          <reference field="0" count="0" selected="0"/>
        </references>
      </pivotArea>
    </format>
  </formats>
  <chartFormats count="9">
    <chartFormat chart="146" format="1" series="1">
      <pivotArea type="data" outline="0" fieldPosition="0">
        <references count="1">
          <reference field="4294967294" count="1" selected="0">
            <x v="0"/>
          </reference>
        </references>
      </pivotArea>
    </chartFormat>
    <chartFormat chart="146" format="2">
      <pivotArea type="data" outline="0" fieldPosition="0">
        <references count="2">
          <reference field="4294967294" count="1" selected="0">
            <x v="0"/>
          </reference>
          <reference field="0" count="1" selected="0">
            <x v="0"/>
          </reference>
        </references>
      </pivotArea>
    </chartFormat>
    <chartFormat chart="146" format="3">
      <pivotArea type="data" outline="0" fieldPosition="0">
        <references count="2">
          <reference field="4294967294" count="1" selected="0">
            <x v="0"/>
          </reference>
          <reference field="0" count="1" selected="0">
            <x v="1"/>
          </reference>
        </references>
      </pivotArea>
    </chartFormat>
    <chartFormat chart="147" format="4" series="1">
      <pivotArea type="data" outline="0" fieldPosition="0">
        <references count="1">
          <reference field="4294967294" count="1" selected="0">
            <x v="0"/>
          </reference>
        </references>
      </pivotArea>
    </chartFormat>
    <chartFormat chart="147" format="5">
      <pivotArea type="data" outline="0" fieldPosition="0">
        <references count="2">
          <reference field="4294967294" count="1" selected="0">
            <x v="0"/>
          </reference>
          <reference field="0" count="1" selected="0">
            <x v="0"/>
          </reference>
        </references>
      </pivotArea>
    </chartFormat>
    <chartFormat chart="147" format="6">
      <pivotArea type="data" outline="0" fieldPosition="0">
        <references count="2">
          <reference field="4294967294" count="1" selected="0">
            <x v="0"/>
          </reference>
          <reference field="0" count="1" selected="0">
            <x v="1"/>
          </reference>
        </references>
      </pivotArea>
    </chartFormat>
    <chartFormat chart="148" format="4" series="1">
      <pivotArea type="data" outline="0" fieldPosition="0">
        <references count="1">
          <reference field="4294967294" count="1" selected="0">
            <x v="0"/>
          </reference>
        </references>
      </pivotArea>
    </chartFormat>
    <chartFormat chart="148" format="5">
      <pivotArea type="data" outline="0" fieldPosition="0">
        <references count="2">
          <reference field="4294967294" count="1" selected="0">
            <x v="0"/>
          </reference>
          <reference field="0" count="1" selected="0">
            <x v="0"/>
          </reference>
        </references>
      </pivotArea>
    </chartFormat>
    <chartFormat chart="148" format="6">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450A81-1809-45B0-BE47-C846B1900128}" name="PivotTable7" cacheId="10" applyNumberFormats="0" applyBorderFormats="0" applyFontFormats="0" applyPatternFormats="0" applyAlignmentFormats="0" applyWidthHeightFormats="1" dataCaption="Values" tag="06114a51-58c1-46fc-9c74-07de6d7841c2" updatedVersion="8" minRefreshableVersion="3" subtotalHiddenItems="1" itemPrintTitles="1" createdVersion="8" indent="127" compact="0" compactData="0" multipleFieldFilters="0" chartFormat="169">
  <location ref="L42:M51" firstHeaderRow="1" firstDataRow="1" firstDataCol="1"/>
  <pivotFields count="3">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3">
      <pivotArea outline="0" collapsedLevelsAreSubtotals="1" fieldPosition="0"/>
    </format>
    <format dxfId="2">
      <pivotArea outline="0" fieldPosition="0">
        <references count="1">
          <reference field="0" count="0" selected="0"/>
        </references>
      </pivotArea>
    </format>
  </formats>
  <chartFormats count="2">
    <chartFormat chart="163" format="0" series="1">
      <pivotArea type="data" outline="0" fieldPosition="0">
        <references count="1">
          <reference field="4294967294" count="1" selected="0">
            <x v="0"/>
          </reference>
        </references>
      </pivotArea>
    </chartFormat>
    <chartFormat chart="166"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4EF412-02BB-410D-99FA-24A3D1C5A38E}" name="PivotTable4" cacheId="7" applyNumberFormats="0" applyBorderFormats="0" applyFontFormats="0" applyPatternFormats="0" applyAlignmentFormats="0" applyWidthHeightFormats="1" dataCaption="Values" tag="06114a51-58c1-46fc-9c74-07de6d7841c2" updatedVersion="8" minRefreshableVersion="3" subtotalHiddenItems="1" itemPrintTitles="1" createdVersion="8" indent="127" compact="0" compactData="0" multipleFieldFilters="0" chartFormat="143">
  <location ref="L17:M26" firstHeaderRow="1" firstDataRow="1" firstDataCol="1"/>
  <pivotFields count="3">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5">
      <pivotArea outline="0" collapsedLevelsAreSubtotals="1" fieldPosition="0"/>
    </format>
    <format dxfId="4">
      <pivotArea outline="0" fieldPosition="0">
        <references count="1">
          <reference field="0" count="0" selected="0"/>
        </references>
      </pivotArea>
    </format>
  </formats>
  <chartFormats count="1">
    <chartFormat chart="14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D3336B-358D-4AE2-B799-D47007F5CAE8}" name="PivotTable11" cacheId="3" dataOnRows="1" applyNumberFormats="0" applyBorderFormats="0" applyFontFormats="0" applyPatternFormats="0" applyAlignmentFormats="0" applyWidthHeightFormats="1" dataCaption="Values" tag="51330845-f261-4df8-b381-f830d8147a9f" updatedVersion="8" minRefreshableVersion="3" subtotalHiddenItems="1" itemPrintTitles="1" createdVersion="8" indent="127" compact="0" compactData="0" multipleFieldFilters="0">
  <location ref="A10:A11"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Patient Satisfaction Score" fld="0" subtotal="average" baseField="0" baseItem="0" numFmtId="2"/>
  </dataFields>
  <formats count="1">
    <format dxfId="6">
      <pivotArea outline="0" collapsedLevelsAreSubtotals="1" fieldPosition="0"/>
    </format>
  </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35C66-9B02-4FC2-8803-9183A689C39A}" name="PivotTable1" cacheId="1" dataOnRows="1" applyNumberFormats="0" applyBorderFormats="0" applyFontFormats="0" applyPatternFormats="0" applyAlignmentFormats="0" applyWidthHeightFormats="1" dataCaption="Values" tag="0242202e-ff64-49be-9f33-50e075ad8cdd" updatedVersion="8" minRefreshableVersion="3" subtotalHiddenItems="1" itemPrintTitles="1" createdVersion="8" indent="127" compact="0" compactData="0" multipleFieldFilters="0">
  <location ref="A2:A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Count of Patient Id" fld="0" subtotal="count" baseField="0" baseItem="0"/>
  </dataField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C70E88-C948-43D1-9E86-19D16E318224}" name="PivotTable10" cacheId="2" dataOnRows="1" applyNumberFormats="0" applyBorderFormats="0" applyFontFormats="0" applyPatternFormats="0" applyAlignmentFormats="0" applyWidthHeightFormats="1" dataCaption="Values" tag="cd8893dd-2452-4c4a-b797-e59cde09352c" updatedVersion="8" minRefreshableVersion="3" subtotalHiddenItems="1" itemPrintTitles="1" createdVersion="8" indent="127" compact="0" compactData="0" multipleFieldFilters="0">
  <location ref="A6:A7"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Wait Time" fld="0" subtotal="average" baseField="0" baseItem="0" numFmtId="2"/>
  </dataFields>
  <formats count="1">
    <format dxfId="7">
      <pivotArea outline="0" collapsedLevelsAreSubtotals="1" fieldPosition="0"/>
    </format>
  </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85FEFF-911A-4D79-BF08-77CFC2DB85C9}" name="PivotTable9" cacheId="11" applyNumberFormats="0" applyBorderFormats="0" applyFontFormats="0" applyPatternFormats="0" applyAlignmentFormats="0" applyWidthHeightFormats="1" dataCaption="Values" tag="06114a51-58c1-46fc-9c74-07de6d7841c2" updatedVersion="8" minRefreshableVersion="3" subtotalHiddenItems="1" itemPrintTitles="1" createdVersion="8" indent="127" compact="0" compactData="0" multipleFieldFilters="0" chartFormat="194">
  <location ref="L54:O57" firstHeaderRow="1" firstDataRow="1" firstDataCol="4"/>
  <pivotFields count="4">
    <pivotField axis="axisRow" compact="0" allDrilled="1" outline="0"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ataSourceSort="1" defaultSubtotal="0">
      <items count="4">
        <item x="0" e="0"/>
        <item x="1" e="0"/>
        <item x="2" e="0"/>
        <item x="3" e="0"/>
      </items>
    </pivotField>
    <pivotField axis="axisRow" compact="0" allDrilled="1" outline="0" subtotalTop="0" showAll="0" dataSourceSort="1" defaultSubtotal="0">
      <items count="2">
        <item x="0" e="0"/>
        <item x="1" e="0"/>
      </items>
    </pivotField>
  </pivotFields>
  <rowFields count="4">
    <field x="3"/>
    <field x="2"/>
    <field x="1"/>
    <field x="0"/>
  </rowFields>
  <rowItems count="3">
    <i>
      <x/>
    </i>
    <i>
      <x v="1"/>
    </i>
    <i t="grand">
      <x/>
    </i>
  </rowItems>
  <formats count="1">
    <format dxfId="8">
      <pivotArea outline="0" collapsedLevelsAreSubtotals="1" fieldPosition="0"/>
    </format>
  </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459C1-5B4C-44D0-9CAA-033DDF0DB008}" name="PivotTable8" cacheId="6" applyNumberFormats="0" applyBorderFormats="0" applyFontFormats="0" applyPatternFormats="0" applyAlignmentFormats="0" applyWidthHeightFormats="1" dataCaption="Values" tag="06114a51-58c1-46fc-9c74-07de6d7841c2" updatedVersion="8" minRefreshableVersion="3" subtotalHiddenItems="1" itemPrintTitles="1" createdVersion="8" indent="127" compact="0" compactData="0" multipleFieldFilters="0" chartFormat="172">
  <location ref="L3:N6" firstHeaderRow="0" firstDataRow="1"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1">
      <pivotArea outline="0" collapsedLevelsAreSubtotals="1" fieldPosition="0"/>
    </format>
    <format dxfId="10">
      <pivotArea outline="0" fieldPosition="0">
        <references count="1">
          <reference field="4294967294" count="1">
            <x v="1"/>
          </reference>
        </references>
      </pivotArea>
    </format>
    <format dxfId="9">
      <pivotArea outline="0" fieldPosition="0">
        <references count="2">
          <reference field="4294967294" count="1" selected="0">
            <x v="0"/>
          </reference>
          <reference field="0" count="0" selected="0"/>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133" format="0" series="1">
      <pivotArea type="data" outline="0" fieldPosition="0">
        <references count="1">
          <reference field="4294967294" count="1" selected="0">
            <x v="0"/>
          </reference>
        </references>
      </pivotArea>
    </chartFormat>
    <chartFormat chart="133" format="1" series="1">
      <pivotArea type="data" outline="0" fieldPosition="0">
        <references count="1">
          <reference field="4294967294" count="1" selected="0">
            <x v="1"/>
          </reference>
        </references>
      </pivotArea>
    </chartFormat>
    <chartFormat chart="133" format="2">
      <pivotArea type="data" outline="0" fieldPosition="0">
        <references count="2">
          <reference field="4294967294" count="1" selected="0">
            <x v="0"/>
          </reference>
          <reference field="0" count="1" selected="0">
            <x v="0"/>
          </reference>
        </references>
      </pivotArea>
    </chartFormat>
    <chartFormat chart="133" format="3">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161A76-F3A6-48E7-A449-98D17C8171BC}" name="PivotTable2" cacheId="4" dataOnRows="1" applyNumberFormats="0" applyBorderFormats="0" applyFontFormats="0" applyPatternFormats="0" applyAlignmentFormats="0" applyWidthHeightFormats="1" dataCaption="Values" tag="9f5bc671-c2f3-4b96-b0ba-755ad02c20f5" updatedVersion="8" minRefreshableVersion="3" subtotalHiddenItems="1" itemPrintTitles="1" createdVersion="8" indent="127" compact="0" compactData="0" multipleFieldFilters="0" chartFormat="65">
  <location ref="F2:G369" firstHeaderRow="1" firstDataRow="1" firstDataCol="1"/>
  <pivotFields count="3">
    <pivotField axis="axisRow" compact="0" allDrilled="1" outline="0"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1">
    <format dxfId="12">
      <pivotArea outline="0" collapsedLevelsAreSubtotals="1" fieldPosition="0"/>
    </format>
  </formats>
  <chartFormats count="2">
    <chartFormat chart="59" format="2"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52A36D-2EC3-414A-B697-3A43310B1659}" name="PivotTable3" cacheId="5" dataOnRows="1" applyNumberFormats="0" applyBorderFormats="0" applyFontFormats="0" applyPatternFormats="0" applyAlignmentFormats="0" applyWidthHeightFormats="1" dataCaption="Values" tag="4fe19c86-dc25-4377-acc7-f51f38a95923" updatedVersion="8" minRefreshableVersion="3" subtotalHiddenItems="1" itemPrintTitles="1" createdVersion="8" indent="127" compact="0" compactData="0" multipleFieldFilters="0" chartFormat="73">
  <location ref="I2:J366" firstHeaderRow="1" firstDataRow="1" firstDataCol="1"/>
  <pivotFields count="3">
    <pivotField axis="axisRow" compact="0" allDrilled="1" outline="0"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1">
    <format dxfId="13">
      <pivotArea outline="0" collapsedLevelsAreSubtotals="1" fieldPosition="0"/>
    </format>
  </formats>
  <chartFormats count="6">
    <chartFormat chart="63"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68" format="3"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 chart="70"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6482EE-F9C9-4A8F-98E9-723CA351EFD5}" name="PivotTable12" cacheId="0" dataOnRows="1" applyNumberFormats="0" applyBorderFormats="0" applyFontFormats="0" applyPatternFormats="0" applyAlignmentFormats="0" applyWidthHeightFormats="1" dataCaption="Values" tag="4620ce4e-94ae-47af-8a66-42a956392d72" updatedVersion="8" minRefreshableVersion="3" subtotalHiddenItems="1" itemPrintTitles="1" createdVersion="8" indent="127" compact="0" compactData="0" multipleFieldFilters="0" chartFormat="56">
  <location ref="C2:D369" firstHeaderRow="1" firstDataRow="1" firstDataCol="1"/>
  <pivotFields count="3">
    <pivotField axis="axisRow" compact="0" allDrilled="1" outline="0"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Patient Id" fld="1" subtotal="count" baseField="0" baseItem="0"/>
  </dataFields>
  <chartFormats count="10">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570DE9-237A-4CC4-8EA2-C20D89EBBAC4}" name="PivotTable6" cacheId="9" applyNumberFormats="0" applyBorderFormats="0" applyFontFormats="0" applyPatternFormats="0" applyAlignmentFormats="0" applyWidthHeightFormats="1" dataCaption="Values" tag="06114a51-58c1-46fc-9c74-07de6d7841c2" updatedVersion="8" minRefreshableVersion="3" subtotalHiddenItems="1" itemPrintTitles="1" createdVersion="8" indent="127" compact="0" compactData="0" multipleFieldFilters="0" chartFormat="197">
  <location ref="L36:M39"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2">
    <format dxfId="15">
      <pivotArea outline="0" collapsedLevelsAreSubtotals="1" fieldPosition="0"/>
    </format>
    <format dxfId="14">
      <pivotArea outline="0" fieldPosition="0">
        <references count="1">
          <reference field="0" count="0" selected="0"/>
        </references>
      </pivotArea>
    </format>
  </formats>
  <chartFormats count="10">
    <chartFormat chart="152" format="1" series="1">
      <pivotArea type="data" outline="0" fieldPosition="0">
        <references count="1">
          <reference field="4294967294" count="1" selected="0">
            <x v="0"/>
          </reference>
        </references>
      </pivotArea>
    </chartFormat>
    <chartFormat chart="152" format="2">
      <pivotArea type="data" outline="0" fieldPosition="0">
        <references count="2">
          <reference field="4294967294" count="1" selected="0">
            <x v="0"/>
          </reference>
          <reference field="0" count="1" selected="0">
            <x v="0"/>
          </reference>
        </references>
      </pivotArea>
    </chartFormat>
    <chartFormat chart="152" format="3">
      <pivotArea type="data" outline="0" fieldPosition="0">
        <references count="2">
          <reference field="4294967294" count="1" selected="0">
            <x v="0"/>
          </reference>
          <reference field="0" count="1" selected="0">
            <x v="1"/>
          </reference>
        </references>
      </pivotArea>
    </chartFormat>
    <chartFormat chart="153" format="4" series="1">
      <pivotArea type="data" outline="0" fieldPosition="0">
        <references count="1">
          <reference field="4294967294" count="1" selected="0">
            <x v="0"/>
          </reference>
        </references>
      </pivotArea>
    </chartFormat>
    <chartFormat chart="153" format="5">
      <pivotArea type="data" outline="0" fieldPosition="0">
        <references count="2">
          <reference field="4294967294" count="1" selected="0">
            <x v="0"/>
          </reference>
          <reference field="0" count="1" selected="0">
            <x v="0"/>
          </reference>
        </references>
      </pivotArea>
    </chartFormat>
    <chartFormat chart="153" format="6">
      <pivotArea type="data" outline="0" fieldPosition="0">
        <references count="2">
          <reference field="4294967294" count="1" selected="0">
            <x v="0"/>
          </reference>
          <reference field="0" count="1" selected="0">
            <x v="1"/>
          </reference>
        </references>
      </pivotArea>
    </chartFormat>
    <chartFormat chart="188" format="0" series="1">
      <pivotArea type="data" outline="0" fieldPosition="0">
        <references count="1">
          <reference field="4294967294" count="1" selected="0">
            <x v="0"/>
          </reference>
        </references>
      </pivotArea>
    </chartFormat>
    <chartFormat chart="193" format="4" series="1">
      <pivotArea type="data" outline="0" fieldPosition="0">
        <references count="1">
          <reference field="4294967294" count="1" selected="0">
            <x v="0"/>
          </reference>
        </references>
      </pivotArea>
    </chartFormat>
    <chartFormat chart="193" format="5">
      <pivotArea type="data" outline="0" fieldPosition="0">
        <references count="2">
          <reference field="4294967294" count="1" selected="0">
            <x v="0"/>
          </reference>
          <reference field="0" count="1" selected="0">
            <x v="0"/>
          </reference>
        </references>
      </pivotArea>
    </chartFormat>
    <chartFormat chart="193" format="6">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8A10046-DE71-4B20-AB78-D88FBF87356D}" sourceName="[Calender].[Date (Month)]">
  <pivotTables>
    <pivotTable tabId="1" name="PivotTable12"/>
    <pivotTable tabId="1" name="PivotTable1"/>
    <pivotTable tabId="1" name="PivotTable10"/>
    <pivotTable tabId="1" name="PivotTable11"/>
    <pivotTable tabId="1" name="PivotTable2"/>
    <pivotTable tabId="1" name="PivotTable3"/>
    <pivotTable tabId="1" name="PivotTable8"/>
    <pivotTable tabId="1" name="PivotTable4"/>
    <pivotTable tabId="1" name="PivotTable5"/>
    <pivotTable tabId="1" name="PivotTable6"/>
    <pivotTable tabId="1" name="PivotTable7"/>
    <pivotTable tabId="1" name="PivotTable9"/>
  </pivotTables>
  <data>
    <olap pivotCacheId="437410763">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22D24C6-2A8D-47B1-8DEE-DA30311DE3A9}" sourceName="[Calender].[Date (Year)]">
  <pivotTables>
    <pivotTable tabId="1" name="PivotTable9"/>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437410763">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 xr10:uid="{5DBA478D-CBF1-482E-8501-B6F835FACE81}" cache="Slicer_Date__Month" level="1" style="my style" rowHeight="216000"/>
  <slicer name="Date (Year)" xr10:uid="{CF653643-74F3-4667-97F2-A5FA8043C64A}" cache="Slicer_Date__Year" caption="  Year" showCaption="0" level="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 1" xr10:uid="{D2D13C4F-BE05-4B83-B620-6A2E797E7A4D}" cache="Slicer_Date__Month" level="1" style="my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9F07-245A-4C28-8153-EED355999C86}">
  <dimension ref="A1:O369"/>
  <sheetViews>
    <sheetView showGridLines="0" topLeftCell="I1" zoomScale="92" workbookViewId="0">
      <selection activeCell="T7" sqref="T7"/>
    </sheetView>
  </sheetViews>
  <sheetFormatPr defaultRowHeight="14.5" x14ac:dyDescent="0.35"/>
  <cols>
    <col min="1" max="1" width="28.7265625" bestFit="1" customWidth="1"/>
    <col min="2" max="2" width="6.81640625" bestFit="1" customWidth="1"/>
    <col min="3" max="4" width="16.81640625" bestFit="1" customWidth="1"/>
    <col min="5" max="5" width="11.26953125" bestFit="1" customWidth="1"/>
    <col min="6" max="6" width="12" bestFit="1" customWidth="1"/>
    <col min="7" max="7" width="24.81640625" bestFit="1" customWidth="1"/>
    <col min="8" max="9" width="11.26953125" bestFit="1" customWidth="1"/>
    <col min="10" max="10" width="31.90625" bestFit="1" customWidth="1"/>
    <col min="11" max="11" width="11.26953125" bestFit="1" customWidth="1"/>
    <col min="12" max="12" width="15.54296875" customWidth="1"/>
    <col min="13" max="13" width="13.90625" customWidth="1"/>
    <col min="14" max="14" width="10.81640625" customWidth="1"/>
    <col min="15" max="15" width="25.7265625" customWidth="1"/>
    <col min="16" max="9215" width="11.26953125" bestFit="1" customWidth="1"/>
    <col min="9216" max="9216" width="10.7265625" bestFit="1" customWidth="1"/>
  </cols>
  <sheetData>
    <row r="1" spans="1:15" x14ac:dyDescent="0.35">
      <c r="A1" t="s">
        <v>3</v>
      </c>
      <c r="C1" t="s">
        <v>39</v>
      </c>
      <c r="F1" t="s">
        <v>5</v>
      </c>
      <c r="I1" t="s">
        <v>42</v>
      </c>
    </row>
    <row r="2" spans="1:15" x14ac:dyDescent="0.35">
      <c r="A2" t="s">
        <v>1</v>
      </c>
      <c r="C2" s="1" t="s">
        <v>6</v>
      </c>
      <c r="D2" t="s">
        <v>1</v>
      </c>
      <c r="F2" s="1" t="s">
        <v>6</v>
      </c>
      <c r="G2" t="s">
        <v>40</v>
      </c>
      <c r="I2" s="1" t="s">
        <v>6</v>
      </c>
      <c r="J2" t="s">
        <v>41</v>
      </c>
    </row>
    <row r="3" spans="1:15" x14ac:dyDescent="0.35">
      <c r="A3">
        <v>9216</v>
      </c>
      <c r="C3" t="s">
        <v>333</v>
      </c>
      <c r="D3">
        <v>19</v>
      </c>
      <c r="F3" t="s">
        <v>333</v>
      </c>
      <c r="G3" s="2">
        <v>37.789473684210527</v>
      </c>
      <c r="I3" t="s">
        <v>333</v>
      </c>
      <c r="J3" s="2">
        <v>6.666666666666667</v>
      </c>
      <c r="L3" s="1" t="s">
        <v>287</v>
      </c>
      <c r="M3" t="s">
        <v>290</v>
      </c>
      <c r="N3" t="s">
        <v>291</v>
      </c>
    </row>
    <row r="4" spans="1:15" x14ac:dyDescent="0.35">
      <c r="C4" t="s">
        <v>334</v>
      </c>
      <c r="D4">
        <v>14</v>
      </c>
      <c r="F4" t="s">
        <v>334</v>
      </c>
      <c r="G4" s="2">
        <v>38.214285714285715</v>
      </c>
      <c r="I4" t="s">
        <v>334</v>
      </c>
      <c r="J4" s="2">
        <v>3.5</v>
      </c>
      <c r="L4" t="s">
        <v>288</v>
      </c>
      <c r="M4" s="9">
        <v>4612</v>
      </c>
      <c r="N4" s="5">
        <v>0.50043402777777779</v>
      </c>
    </row>
    <row r="5" spans="1:15" x14ac:dyDescent="0.35">
      <c r="C5" t="s">
        <v>335</v>
      </c>
      <c r="D5">
        <v>13</v>
      </c>
      <c r="F5" t="s">
        <v>335</v>
      </c>
      <c r="G5" s="2">
        <v>40.92307692307692</v>
      </c>
      <c r="I5" t="s">
        <v>335</v>
      </c>
      <c r="J5" s="2">
        <v>4.5</v>
      </c>
      <c r="L5" t="s">
        <v>289</v>
      </c>
      <c r="M5" s="9">
        <v>4604</v>
      </c>
      <c r="N5" s="5">
        <v>0.49956597222222221</v>
      </c>
    </row>
    <row r="6" spans="1:15" x14ac:dyDescent="0.35">
      <c r="A6" t="s">
        <v>5</v>
      </c>
      <c r="C6" t="s">
        <v>336</v>
      </c>
      <c r="D6">
        <v>22</v>
      </c>
      <c r="F6" t="s">
        <v>336</v>
      </c>
      <c r="G6" s="2">
        <v>34.5</v>
      </c>
      <c r="I6" t="s">
        <v>336</v>
      </c>
      <c r="J6" s="2">
        <v>4.8</v>
      </c>
      <c r="L6" t="s">
        <v>0</v>
      </c>
      <c r="M6" s="2">
        <v>9216</v>
      </c>
      <c r="N6" s="5">
        <v>1</v>
      </c>
    </row>
    <row r="7" spans="1:15" x14ac:dyDescent="0.35">
      <c r="A7" s="2">
        <v>35.259874131944443</v>
      </c>
      <c r="C7" t="s">
        <v>337</v>
      </c>
      <c r="D7">
        <v>19</v>
      </c>
      <c r="F7" t="s">
        <v>337</v>
      </c>
      <c r="G7" s="2">
        <v>30.684210526315791</v>
      </c>
      <c r="I7" t="s">
        <v>337</v>
      </c>
      <c r="J7" s="2">
        <v>7.75</v>
      </c>
    </row>
    <row r="8" spans="1:15" x14ac:dyDescent="0.35">
      <c r="C8" t="s">
        <v>338</v>
      </c>
      <c r="D8">
        <v>15</v>
      </c>
      <c r="F8" t="s">
        <v>338</v>
      </c>
      <c r="G8" s="2">
        <v>37.666666666666664</v>
      </c>
      <c r="I8" t="s">
        <v>338</v>
      </c>
      <c r="J8" s="2">
        <v>6.2</v>
      </c>
    </row>
    <row r="9" spans="1:15" x14ac:dyDescent="0.35">
      <c r="C9" t="s">
        <v>339</v>
      </c>
      <c r="D9">
        <v>12</v>
      </c>
      <c r="F9" t="s">
        <v>339</v>
      </c>
      <c r="G9" s="2">
        <v>36.083333333333336</v>
      </c>
      <c r="I9" t="s">
        <v>339</v>
      </c>
      <c r="J9" s="2">
        <v>3.75</v>
      </c>
    </row>
    <row r="10" spans="1:15" x14ac:dyDescent="0.35">
      <c r="A10" t="s">
        <v>4</v>
      </c>
      <c r="C10" t="s">
        <v>340</v>
      </c>
      <c r="D10">
        <v>21</v>
      </c>
      <c r="F10" t="s">
        <v>340</v>
      </c>
      <c r="G10" s="2">
        <v>43.523809523809526</v>
      </c>
      <c r="I10" t="s">
        <v>340</v>
      </c>
      <c r="J10" s="2">
        <v>6.5</v>
      </c>
    </row>
    <row r="11" spans="1:15" x14ac:dyDescent="0.35">
      <c r="A11" s="2">
        <v>4.9920540325784666</v>
      </c>
      <c r="C11" t="s">
        <v>341</v>
      </c>
      <c r="D11">
        <v>12</v>
      </c>
      <c r="F11" t="s">
        <v>341</v>
      </c>
      <c r="G11" s="2">
        <v>29.5</v>
      </c>
      <c r="I11" t="s">
        <v>341</v>
      </c>
      <c r="J11" s="2">
        <v>3</v>
      </c>
    </row>
    <row r="12" spans="1:15" x14ac:dyDescent="0.35">
      <c r="C12" t="s">
        <v>342</v>
      </c>
      <c r="D12">
        <v>13</v>
      </c>
      <c r="F12" t="s">
        <v>342</v>
      </c>
      <c r="G12" s="2">
        <v>38.07692307692308</v>
      </c>
      <c r="I12" t="s">
        <v>342</v>
      </c>
      <c r="J12" s="2">
        <v>4.5</v>
      </c>
    </row>
    <row r="13" spans="1:15" x14ac:dyDescent="0.35">
      <c r="C13" t="s">
        <v>343</v>
      </c>
      <c r="D13">
        <v>13</v>
      </c>
      <c r="F13" t="s">
        <v>343</v>
      </c>
      <c r="G13" s="2">
        <v>35.846153846153847</v>
      </c>
      <c r="I13" t="s">
        <v>343</v>
      </c>
      <c r="J13" s="2">
        <v>6</v>
      </c>
      <c r="L13" s="6" t="s">
        <v>292</v>
      </c>
      <c r="M13" s="6" t="s">
        <v>293</v>
      </c>
      <c r="N13" s="7" t="s">
        <v>294</v>
      </c>
      <c r="O13" s="8"/>
    </row>
    <row r="14" spans="1:15" x14ac:dyDescent="0.35">
      <c r="C14" t="s">
        <v>344</v>
      </c>
      <c r="D14">
        <v>16</v>
      </c>
      <c r="F14" t="s">
        <v>344</v>
      </c>
      <c r="G14" s="2">
        <v>32.625</v>
      </c>
      <c r="I14" t="s">
        <v>344</v>
      </c>
      <c r="J14" s="2">
        <v>5.2</v>
      </c>
      <c r="L14" t="str">
        <f>L5</f>
        <v>Not Admitted</v>
      </c>
      <c r="M14">
        <f>GETPIVOTDATA("[Measures].[Count of Patient Admission Flag]",$L$3,"[Hospital Emergency Room Data].[Patient Admission Flag]","[Hospital Emergency Room Data].[Patient Admission Flag].&amp;[Not Admitted]")</f>
        <v>4604</v>
      </c>
      <c r="N14" s="5">
        <f>GETPIVOTDATA("[__Xl2].[Measures].[Count of Patient Admission Flag]",$L$3,"[Hospital Emergency Room Data].[Patient Admission Flag]","[Hospital Emergency Room Data].[Patient Admission Flag].&amp;[Not Admitted]")</f>
        <v>0.49956597222222221</v>
      </c>
    </row>
    <row r="15" spans="1:15" x14ac:dyDescent="0.35">
      <c r="C15" t="s">
        <v>345</v>
      </c>
      <c r="D15">
        <v>20</v>
      </c>
      <c r="F15" t="s">
        <v>345</v>
      </c>
      <c r="G15" s="2">
        <v>39.200000000000003</v>
      </c>
      <c r="I15" t="s">
        <v>345</v>
      </c>
      <c r="J15" s="2">
        <v>4.4000000000000004</v>
      </c>
      <c r="L15" t="str">
        <f>L4</f>
        <v>Admitted</v>
      </c>
      <c r="M15">
        <f>GETPIVOTDATA("[Measures].[Count of Patient Admission Flag]",$L$3,"[Hospital Emergency Room Data].[Patient Admission Flag]","[Hospital Emergency Room Data].[Patient Admission Flag].&amp;[Admitted]")</f>
        <v>4612</v>
      </c>
      <c r="N15" s="5">
        <f>GETPIVOTDATA("[__Xl2].[Measures].[Count of Patient Admission Flag]",$L$3,"[Hospital Emergency Room Data].[Patient Admission Flag]","[Hospital Emergency Room Data].[Patient Admission Flag].&amp;[Admitted]")</f>
        <v>0.50043402777777779</v>
      </c>
    </row>
    <row r="16" spans="1:15" x14ac:dyDescent="0.35">
      <c r="C16" t="s">
        <v>346</v>
      </c>
      <c r="D16">
        <v>25</v>
      </c>
      <c r="F16" t="s">
        <v>346</v>
      </c>
      <c r="G16" s="2">
        <v>35.28</v>
      </c>
      <c r="I16" t="s">
        <v>346</v>
      </c>
      <c r="J16" s="2">
        <v>3.4545454545454546</v>
      </c>
      <c r="L16" t="s">
        <v>306</v>
      </c>
    </row>
    <row r="17" spans="3:13" x14ac:dyDescent="0.35">
      <c r="C17" t="s">
        <v>347</v>
      </c>
      <c r="D17">
        <v>20</v>
      </c>
      <c r="F17" t="s">
        <v>347</v>
      </c>
      <c r="G17" s="2">
        <v>32.549999999999997</v>
      </c>
      <c r="I17" t="s">
        <v>347</v>
      </c>
      <c r="J17" s="2">
        <v>4.4000000000000004</v>
      </c>
      <c r="L17" s="1" t="s">
        <v>296</v>
      </c>
      <c r="M17" t="s">
        <v>305</v>
      </c>
    </row>
    <row r="18" spans="3:13" x14ac:dyDescent="0.35">
      <c r="C18" t="s">
        <v>348</v>
      </c>
      <c r="D18">
        <v>14</v>
      </c>
      <c r="F18" t="s">
        <v>348</v>
      </c>
      <c r="G18" s="2">
        <v>35.642857142857146</v>
      </c>
      <c r="I18" t="s">
        <v>348</v>
      </c>
      <c r="J18" s="2">
        <v>5.833333333333333</v>
      </c>
      <c r="L18" t="s">
        <v>297</v>
      </c>
      <c r="M18" s="9">
        <v>1176</v>
      </c>
    </row>
    <row r="19" spans="3:13" x14ac:dyDescent="0.35">
      <c r="C19" t="s">
        <v>349</v>
      </c>
      <c r="D19">
        <v>17</v>
      </c>
      <c r="F19" t="s">
        <v>349</v>
      </c>
      <c r="G19" s="2">
        <v>38.764705882352942</v>
      </c>
      <c r="I19" t="s">
        <v>349</v>
      </c>
      <c r="J19" s="2">
        <v>4.4444444444444446</v>
      </c>
      <c r="L19" t="s">
        <v>298</v>
      </c>
      <c r="M19" s="9">
        <v>1160</v>
      </c>
    </row>
    <row r="20" spans="3:13" x14ac:dyDescent="0.35">
      <c r="C20" t="s">
        <v>350</v>
      </c>
      <c r="D20">
        <v>20</v>
      </c>
      <c r="F20" t="s">
        <v>350</v>
      </c>
      <c r="G20" s="2">
        <v>39.9</v>
      </c>
      <c r="I20" t="s">
        <v>350</v>
      </c>
      <c r="J20" s="2">
        <v>5.333333333333333</v>
      </c>
      <c r="L20" t="s">
        <v>299</v>
      </c>
      <c r="M20" s="9">
        <v>1207</v>
      </c>
    </row>
    <row r="21" spans="3:13" x14ac:dyDescent="0.35">
      <c r="C21" t="s">
        <v>351</v>
      </c>
      <c r="D21">
        <v>10</v>
      </c>
      <c r="F21" t="s">
        <v>351</v>
      </c>
      <c r="G21" s="2">
        <v>41.6</v>
      </c>
      <c r="I21" t="s">
        <v>351</v>
      </c>
      <c r="J21" s="2">
        <v>5.333333333333333</v>
      </c>
      <c r="L21" t="s">
        <v>300</v>
      </c>
      <c r="M21" s="9">
        <v>1191</v>
      </c>
    </row>
    <row r="22" spans="3:13" x14ac:dyDescent="0.35">
      <c r="C22" t="s">
        <v>352</v>
      </c>
      <c r="D22">
        <v>17</v>
      </c>
      <c r="F22" t="s">
        <v>352</v>
      </c>
      <c r="G22" s="2">
        <v>39.470588235294116</v>
      </c>
      <c r="I22" t="s">
        <v>352</v>
      </c>
      <c r="J22" s="2">
        <v>5.5714285714285712</v>
      </c>
      <c r="L22" t="s">
        <v>301</v>
      </c>
      <c r="M22" s="9">
        <v>1137</v>
      </c>
    </row>
    <row r="23" spans="3:13" x14ac:dyDescent="0.35">
      <c r="C23" t="s">
        <v>353</v>
      </c>
      <c r="D23">
        <v>15</v>
      </c>
      <c r="F23" t="s">
        <v>353</v>
      </c>
      <c r="G23" s="2">
        <v>27.733333333333334</v>
      </c>
      <c r="I23" t="s">
        <v>353</v>
      </c>
      <c r="J23" s="2">
        <v>5</v>
      </c>
      <c r="L23" t="s">
        <v>302</v>
      </c>
      <c r="M23" s="9">
        <v>1147</v>
      </c>
    </row>
    <row r="24" spans="3:13" x14ac:dyDescent="0.35">
      <c r="C24" t="s">
        <v>354</v>
      </c>
      <c r="D24">
        <v>16</v>
      </c>
      <c r="F24" t="s">
        <v>354</v>
      </c>
      <c r="G24" s="2">
        <v>36.875</v>
      </c>
      <c r="I24" t="s">
        <v>354</v>
      </c>
      <c r="J24" s="2">
        <v>6.4</v>
      </c>
      <c r="L24" t="s">
        <v>303</v>
      </c>
      <c r="M24" s="9">
        <v>1150</v>
      </c>
    </row>
    <row r="25" spans="3:13" x14ac:dyDescent="0.35">
      <c r="C25" t="s">
        <v>355</v>
      </c>
      <c r="D25">
        <v>18</v>
      </c>
      <c r="F25" t="s">
        <v>355</v>
      </c>
      <c r="G25" s="2">
        <v>40.333333333333336</v>
      </c>
      <c r="I25" t="s">
        <v>355</v>
      </c>
      <c r="J25" s="2">
        <v>5.333333333333333</v>
      </c>
      <c r="L25" t="s">
        <v>304</v>
      </c>
      <c r="M25" s="9">
        <v>1048</v>
      </c>
    </row>
    <row r="26" spans="3:13" x14ac:dyDescent="0.35">
      <c r="C26" t="s">
        <v>356</v>
      </c>
      <c r="D26">
        <v>16</v>
      </c>
      <c r="F26" t="s">
        <v>356</v>
      </c>
      <c r="G26" s="2">
        <v>36.5</v>
      </c>
      <c r="I26" t="s">
        <v>356</v>
      </c>
      <c r="J26" s="2">
        <v>3.75</v>
      </c>
      <c r="L26" t="s">
        <v>0</v>
      </c>
      <c r="M26" s="2">
        <v>9216</v>
      </c>
    </row>
    <row r="27" spans="3:13" x14ac:dyDescent="0.35">
      <c r="C27" t="s">
        <v>357</v>
      </c>
      <c r="D27">
        <v>15</v>
      </c>
      <c r="F27" t="s">
        <v>357</v>
      </c>
      <c r="G27" s="2">
        <v>32.866666666666667</v>
      </c>
      <c r="I27" t="s">
        <v>357</v>
      </c>
      <c r="J27" s="2">
        <v>6.333333333333333</v>
      </c>
    </row>
    <row r="28" spans="3:13" x14ac:dyDescent="0.35">
      <c r="C28" t="s">
        <v>358</v>
      </c>
      <c r="D28">
        <v>14</v>
      </c>
      <c r="F28" t="s">
        <v>358</v>
      </c>
      <c r="G28" s="2">
        <v>36.642857142857146</v>
      </c>
      <c r="I28" t="s">
        <v>358</v>
      </c>
      <c r="J28" s="2">
        <v>10</v>
      </c>
    </row>
    <row r="29" spans="3:13" x14ac:dyDescent="0.35">
      <c r="C29" t="s">
        <v>359</v>
      </c>
      <c r="D29">
        <v>16</v>
      </c>
      <c r="F29" t="s">
        <v>359</v>
      </c>
      <c r="G29" s="2">
        <v>36.5625</v>
      </c>
      <c r="I29" t="s">
        <v>359</v>
      </c>
      <c r="J29" s="2">
        <v>5</v>
      </c>
      <c r="L29" t="s">
        <v>315</v>
      </c>
    </row>
    <row r="30" spans="3:13" x14ac:dyDescent="0.35">
      <c r="C30" t="s">
        <v>360</v>
      </c>
      <c r="D30">
        <v>20</v>
      </c>
      <c r="F30" t="s">
        <v>360</v>
      </c>
      <c r="G30" s="2">
        <v>32.15</v>
      </c>
      <c r="I30" t="s">
        <v>360</v>
      </c>
      <c r="J30" s="2">
        <v>5.333333333333333</v>
      </c>
      <c r="L30" s="1" t="s">
        <v>307</v>
      </c>
      <c r="M30" t="s">
        <v>310</v>
      </c>
    </row>
    <row r="31" spans="3:13" x14ac:dyDescent="0.35">
      <c r="C31" t="s">
        <v>361</v>
      </c>
      <c r="D31">
        <v>19</v>
      </c>
      <c r="F31" t="s">
        <v>361</v>
      </c>
      <c r="G31" s="2">
        <v>38.368421052631582</v>
      </c>
      <c r="I31" t="s">
        <v>361</v>
      </c>
      <c r="J31" s="2">
        <v>4.8</v>
      </c>
      <c r="L31" t="s">
        <v>308</v>
      </c>
      <c r="M31" s="9">
        <v>5467</v>
      </c>
    </row>
    <row r="32" spans="3:13" x14ac:dyDescent="0.35">
      <c r="C32" t="s">
        <v>362</v>
      </c>
      <c r="D32">
        <v>14</v>
      </c>
      <c r="F32" t="s">
        <v>362</v>
      </c>
      <c r="G32" s="2">
        <v>33.071428571428569</v>
      </c>
      <c r="I32" t="s">
        <v>362</v>
      </c>
      <c r="J32" s="2">
        <v>5</v>
      </c>
      <c r="L32" t="s">
        <v>309</v>
      </c>
      <c r="M32" s="9">
        <v>3749</v>
      </c>
    </row>
    <row r="33" spans="3:13" x14ac:dyDescent="0.35">
      <c r="C33" t="s">
        <v>363</v>
      </c>
      <c r="D33">
        <v>18</v>
      </c>
      <c r="F33" t="s">
        <v>363</v>
      </c>
      <c r="G33" s="2">
        <v>36.444444444444443</v>
      </c>
      <c r="I33" t="s">
        <v>363</v>
      </c>
      <c r="J33" s="2">
        <v>1.4</v>
      </c>
      <c r="L33" t="s">
        <v>0</v>
      </c>
      <c r="M33" s="2">
        <v>9216</v>
      </c>
    </row>
    <row r="34" spans="3:13" x14ac:dyDescent="0.35">
      <c r="C34" t="s">
        <v>364</v>
      </c>
      <c r="D34">
        <v>13</v>
      </c>
      <c r="F34" t="s">
        <v>364</v>
      </c>
      <c r="G34" s="2">
        <v>35.692307692307693</v>
      </c>
      <c r="I34" t="s">
        <v>364</v>
      </c>
      <c r="J34" s="2">
        <v>4.166666666666667</v>
      </c>
    </row>
    <row r="35" spans="3:13" x14ac:dyDescent="0.35">
      <c r="C35" t="s">
        <v>365</v>
      </c>
      <c r="D35">
        <v>10</v>
      </c>
      <c r="F35" t="s">
        <v>365</v>
      </c>
      <c r="G35" s="2">
        <v>45.4</v>
      </c>
      <c r="I35" t="s">
        <v>365</v>
      </c>
      <c r="J35" s="2">
        <v>5.75</v>
      </c>
      <c r="L35" t="s">
        <v>316</v>
      </c>
    </row>
    <row r="36" spans="3:13" x14ac:dyDescent="0.35">
      <c r="C36" t="s">
        <v>366</v>
      </c>
      <c r="D36">
        <v>8</v>
      </c>
      <c r="F36" t="s">
        <v>366</v>
      </c>
      <c r="G36" s="2">
        <v>29.375</v>
      </c>
      <c r="I36" t="s">
        <v>366</v>
      </c>
      <c r="J36" s="2">
        <v>4.75</v>
      </c>
      <c r="L36" s="1" t="s">
        <v>311</v>
      </c>
      <c r="M36" t="s">
        <v>314</v>
      </c>
    </row>
    <row r="37" spans="3:13" x14ac:dyDescent="0.35">
      <c r="C37" t="s">
        <v>367</v>
      </c>
      <c r="D37">
        <v>12</v>
      </c>
      <c r="F37" t="s">
        <v>367</v>
      </c>
      <c r="G37" s="2">
        <v>34.583333333333336</v>
      </c>
      <c r="I37" t="s">
        <v>367</v>
      </c>
      <c r="J37" s="2">
        <v>7</v>
      </c>
      <c r="L37" t="s">
        <v>312</v>
      </c>
      <c r="M37" s="9">
        <v>4487</v>
      </c>
    </row>
    <row r="38" spans="3:13" x14ac:dyDescent="0.35">
      <c r="C38" t="s">
        <v>368</v>
      </c>
      <c r="D38">
        <v>19</v>
      </c>
      <c r="F38" t="s">
        <v>368</v>
      </c>
      <c r="G38" s="2">
        <v>38.684210526315788</v>
      </c>
      <c r="I38" t="s">
        <v>368</v>
      </c>
      <c r="J38" s="2">
        <v>3.1428571428571428</v>
      </c>
      <c r="L38" t="s">
        <v>313</v>
      </c>
      <c r="M38" s="9">
        <v>4729</v>
      </c>
    </row>
    <row r="39" spans="3:13" x14ac:dyDescent="0.35">
      <c r="C39" t="s">
        <v>369</v>
      </c>
      <c r="D39">
        <v>9</v>
      </c>
      <c r="F39" t="s">
        <v>369</v>
      </c>
      <c r="G39" s="2">
        <v>34.777777777777779</v>
      </c>
      <c r="I39" t="s">
        <v>369</v>
      </c>
      <c r="J39" s="2">
        <v>8</v>
      </c>
      <c r="L39" t="s">
        <v>0</v>
      </c>
      <c r="M39" s="2">
        <v>9216</v>
      </c>
    </row>
    <row r="40" spans="3:13" x14ac:dyDescent="0.35">
      <c r="C40" t="s">
        <v>370</v>
      </c>
      <c r="D40">
        <v>13</v>
      </c>
      <c r="F40" t="s">
        <v>370</v>
      </c>
      <c r="G40" s="2">
        <v>37.307692307692307</v>
      </c>
      <c r="I40" t="s">
        <v>370</v>
      </c>
      <c r="J40" s="2">
        <v>5.25</v>
      </c>
    </row>
    <row r="41" spans="3:13" x14ac:dyDescent="0.35">
      <c r="C41" t="s">
        <v>371</v>
      </c>
      <c r="D41">
        <v>19</v>
      </c>
      <c r="F41" t="s">
        <v>371</v>
      </c>
      <c r="G41" s="2">
        <v>35.631578947368418</v>
      </c>
      <c r="I41" t="s">
        <v>371</v>
      </c>
      <c r="J41" s="2">
        <v>4.5714285714285712</v>
      </c>
    </row>
    <row r="42" spans="3:13" x14ac:dyDescent="0.35">
      <c r="C42" t="s">
        <v>372</v>
      </c>
      <c r="D42">
        <v>10</v>
      </c>
      <c r="F42" t="s">
        <v>372</v>
      </c>
      <c r="G42" s="2">
        <v>36.6</v>
      </c>
      <c r="I42" t="s">
        <v>372</v>
      </c>
      <c r="J42" s="2">
        <v>2.75</v>
      </c>
      <c r="L42" s="1" t="s">
        <v>317</v>
      </c>
      <c r="M42" t="s">
        <v>326</v>
      </c>
    </row>
    <row r="43" spans="3:13" x14ac:dyDescent="0.35">
      <c r="C43" t="s">
        <v>373</v>
      </c>
      <c r="D43">
        <v>20</v>
      </c>
      <c r="F43" t="s">
        <v>373</v>
      </c>
      <c r="G43" s="2">
        <v>39.700000000000003</v>
      </c>
      <c r="I43" t="s">
        <v>373</v>
      </c>
      <c r="J43" s="2">
        <v>4.5</v>
      </c>
      <c r="L43" t="s">
        <v>325</v>
      </c>
      <c r="M43" s="9">
        <v>86</v>
      </c>
    </row>
    <row r="44" spans="3:13" x14ac:dyDescent="0.35">
      <c r="C44" t="s">
        <v>374</v>
      </c>
      <c r="D44">
        <v>15</v>
      </c>
      <c r="F44" t="s">
        <v>374</v>
      </c>
      <c r="G44" s="2">
        <v>37.4</v>
      </c>
      <c r="I44" t="s">
        <v>374</v>
      </c>
      <c r="J44" s="2">
        <v>5.5</v>
      </c>
      <c r="L44" t="s">
        <v>319</v>
      </c>
      <c r="M44" s="9">
        <v>178</v>
      </c>
    </row>
    <row r="45" spans="3:13" x14ac:dyDescent="0.35">
      <c r="C45" t="s">
        <v>375</v>
      </c>
      <c r="D45">
        <v>13</v>
      </c>
      <c r="F45" t="s">
        <v>375</v>
      </c>
      <c r="G45" s="2">
        <v>27.76923076923077</v>
      </c>
      <c r="I45" t="s">
        <v>375</v>
      </c>
      <c r="J45" s="2">
        <v>5.6</v>
      </c>
      <c r="L45" t="s">
        <v>321</v>
      </c>
      <c r="M45" s="9">
        <v>193</v>
      </c>
    </row>
    <row r="46" spans="3:13" x14ac:dyDescent="0.35">
      <c r="C46" t="s">
        <v>376</v>
      </c>
      <c r="D46">
        <v>9</v>
      </c>
      <c r="F46" t="s">
        <v>376</v>
      </c>
      <c r="G46" s="2">
        <v>38.777777777777779</v>
      </c>
      <c r="I46" t="s">
        <v>376</v>
      </c>
      <c r="J46" s="2">
        <v>5.75</v>
      </c>
      <c r="L46" t="s">
        <v>318</v>
      </c>
      <c r="M46" s="9">
        <v>248</v>
      </c>
    </row>
    <row r="47" spans="3:13" x14ac:dyDescent="0.35">
      <c r="C47" t="s">
        <v>377</v>
      </c>
      <c r="D47">
        <v>19</v>
      </c>
      <c r="F47" t="s">
        <v>377</v>
      </c>
      <c r="G47" s="2">
        <v>31</v>
      </c>
      <c r="I47" t="s">
        <v>377</v>
      </c>
      <c r="J47" s="2">
        <v>3.4444444444444446</v>
      </c>
      <c r="L47" t="s">
        <v>324</v>
      </c>
      <c r="M47" s="9">
        <v>276</v>
      </c>
    </row>
    <row r="48" spans="3:13" x14ac:dyDescent="0.35">
      <c r="C48" t="s">
        <v>378</v>
      </c>
      <c r="D48">
        <v>14</v>
      </c>
      <c r="F48" t="s">
        <v>378</v>
      </c>
      <c r="G48" s="2">
        <v>35.928571428571431</v>
      </c>
      <c r="I48" t="s">
        <v>378</v>
      </c>
      <c r="J48" s="2">
        <v>1.5</v>
      </c>
      <c r="L48" t="s">
        <v>323</v>
      </c>
      <c r="M48" s="9">
        <v>995</v>
      </c>
    </row>
    <row r="49" spans="3:15" x14ac:dyDescent="0.35">
      <c r="C49" t="s">
        <v>379</v>
      </c>
      <c r="D49">
        <v>17</v>
      </c>
      <c r="F49" t="s">
        <v>379</v>
      </c>
      <c r="G49" s="2">
        <v>37.882352941176471</v>
      </c>
      <c r="I49" t="s">
        <v>379</v>
      </c>
      <c r="J49" s="2">
        <v>3.6666666666666665</v>
      </c>
      <c r="L49" t="s">
        <v>320</v>
      </c>
      <c r="M49" s="9">
        <v>1840</v>
      </c>
    </row>
    <row r="50" spans="3:15" x14ac:dyDescent="0.35">
      <c r="C50" t="s">
        <v>380</v>
      </c>
      <c r="D50">
        <v>17</v>
      </c>
      <c r="F50" t="s">
        <v>380</v>
      </c>
      <c r="G50" s="2">
        <v>40.588235294117645</v>
      </c>
      <c r="I50" t="s">
        <v>380</v>
      </c>
      <c r="J50" s="2">
        <v>4.4285714285714288</v>
      </c>
      <c r="L50" t="s">
        <v>322</v>
      </c>
      <c r="M50" s="9">
        <v>5400</v>
      </c>
    </row>
    <row r="51" spans="3:15" x14ac:dyDescent="0.35">
      <c r="C51" t="s">
        <v>381</v>
      </c>
      <c r="D51">
        <v>15</v>
      </c>
      <c r="F51" t="s">
        <v>381</v>
      </c>
      <c r="G51" s="2">
        <v>34.533333333333331</v>
      </c>
      <c r="I51" t="s">
        <v>381</v>
      </c>
      <c r="J51" s="2">
        <v>6</v>
      </c>
      <c r="L51" t="s">
        <v>0</v>
      </c>
      <c r="M51" s="2">
        <v>9216</v>
      </c>
    </row>
    <row r="52" spans="3:15" x14ac:dyDescent="0.35">
      <c r="C52" t="s">
        <v>382</v>
      </c>
      <c r="D52">
        <v>9</v>
      </c>
      <c r="F52" t="s">
        <v>382</v>
      </c>
      <c r="G52" s="2">
        <v>40.333333333333336</v>
      </c>
      <c r="I52" t="s">
        <v>382</v>
      </c>
      <c r="J52" s="2">
        <v>2.6666666666666665</v>
      </c>
    </row>
    <row r="53" spans="3:15" x14ac:dyDescent="0.35">
      <c r="C53" t="s">
        <v>383</v>
      </c>
      <c r="D53">
        <v>14</v>
      </c>
      <c r="F53" t="s">
        <v>383</v>
      </c>
      <c r="G53" s="2">
        <v>35.285714285714285</v>
      </c>
      <c r="I53" t="s">
        <v>383</v>
      </c>
      <c r="J53" s="2">
        <v>7.5</v>
      </c>
    </row>
    <row r="54" spans="3:15" x14ac:dyDescent="0.35">
      <c r="C54" t="s">
        <v>384</v>
      </c>
      <c r="D54">
        <v>22</v>
      </c>
      <c r="F54" t="s">
        <v>384</v>
      </c>
      <c r="G54" s="2">
        <v>35.5</v>
      </c>
      <c r="I54" t="s">
        <v>384</v>
      </c>
      <c r="J54" s="2">
        <v>4.5</v>
      </c>
      <c r="L54" s="1" t="s">
        <v>328</v>
      </c>
      <c r="M54" s="1" t="s">
        <v>329</v>
      </c>
      <c r="N54" s="1" t="s">
        <v>330</v>
      </c>
      <c r="O54" s="1" t="s">
        <v>327</v>
      </c>
    </row>
    <row r="55" spans="3:15" x14ac:dyDescent="0.35">
      <c r="C55" t="s">
        <v>385</v>
      </c>
      <c r="D55">
        <v>16</v>
      </c>
      <c r="F55" t="s">
        <v>385</v>
      </c>
      <c r="G55" s="2">
        <v>38.5625</v>
      </c>
      <c r="I55" t="s">
        <v>385</v>
      </c>
      <c r="J55" s="2">
        <v>8</v>
      </c>
      <c r="L55" t="s">
        <v>331</v>
      </c>
    </row>
    <row r="56" spans="3:15" x14ac:dyDescent="0.35">
      <c r="C56" t="s">
        <v>386</v>
      </c>
      <c r="D56">
        <v>22</v>
      </c>
      <c r="F56" t="s">
        <v>386</v>
      </c>
      <c r="G56" s="2">
        <v>42.727272727272727</v>
      </c>
      <c r="I56" t="s">
        <v>386</v>
      </c>
      <c r="J56" s="2">
        <v>4.3636363636363633</v>
      </c>
      <c r="L56" t="s">
        <v>332</v>
      </c>
    </row>
    <row r="57" spans="3:15" x14ac:dyDescent="0.35">
      <c r="C57" t="s">
        <v>387</v>
      </c>
      <c r="D57">
        <v>12</v>
      </c>
      <c r="F57" t="s">
        <v>387</v>
      </c>
      <c r="G57" s="2">
        <v>37.416666666666664</v>
      </c>
      <c r="I57" t="s">
        <v>387</v>
      </c>
      <c r="J57" s="2">
        <v>0</v>
      </c>
      <c r="L57" t="s">
        <v>0</v>
      </c>
    </row>
    <row r="58" spans="3:15" x14ac:dyDescent="0.35">
      <c r="C58" t="s">
        <v>388</v>
      </c>
      <c r="D58">
        <v>20</v>
      </c>
      <c r="F58" t="s">
        <v>388</v>
      </c>
      <c r="G58" s="2">
        <v>32.450000000000003</v>
      </c>
      <c r="I58" t="s">
        <v>388</v>
      </c>
      <c r="J58" s="2">
        <v>10</v>
      </c>
    </row>
    <row r="59" spans="3:15" x14ac:dyDescent="0.35">
      <c r="C59" t="s">
        <v>389</v>
      </c>
      <c r="D59">
        <v>18</v>
      </c>
      <c r="F59" t="s">
        <v>389</v>
      </c>
      <c r="G59" s="2">
        <v>40.055555555555557</v>
      </c>
      <c r="I59" t="s">
        <v>390</v>
      </c>
      <c r="J59" s="2">
        <v>6.75</v>
      </c>
    </row>
    <row r="60" spans="3:15" x14ac:dyDescent="0.35">
      <c r="C60" t="s">
        <v>390</v>
      </c>
      <c r="D60">
        <v>18</v>
      </c>
      <c r="F60" t="s">
        <v>390</v>
      </c>
      <c r="G60" s="2">
        <v>31.666666666666668</v>
      </c>
      <c r="I60" t="s">
        <v>391</v>
      </c>
      <c r="J60" s="2">
        <v>7</v>
      </c>
    </row>
    <row r="61" spans="3:15" x14ac:dyDescent="0.35">
      <c r="C61" t="s">
        <v>391</v>
      </c>
      <c r="D61">
        <v>13</v>
      </c>
      <c r="F61" t="s">
        <v>391</v>
      </c>
      <c r="G61" s="2">
        <v>39.769230769230766</v>
      </c>
      <c r="I61" t="s">
        <v>392</v>
      </c>
      <c r="J61" s="2">
        <v>3.3333333333333335</v>
      </c>
    </row>
    <row r="62" spans="3:15" x14ac:dyDescent="0.35">
      <c r="C62" t="s">
        <v>392</v>
      </c>
      <c r="D62">
        <v>15</v>
      </c>
      <c r="F62" t="s">
        <v>392</v>
      </c>
      <c r="G62" s="2">
        <v>36.733333333333334</v>
      </c>
      <c r="I62" t="s">
        <v>393</v>
      </c>
      <c r="J62" s="2">
        <v>7.2</v>
      </c>
    </row>
    <row r="63" spans="3:15" x14ac:dyDescent="0.35">
      <c r="C63" t="s">
        <v>393</v>
      </c>
      <c r="D63">
        <v>19</v>
      </c>
      <c r="F63" t="s">
        <v>393</v>
      </c>
      <c r="G63" s="2">
        <v>34.526315789473685</v>
      </c>
      <c r="I63" t="s">
        <v>394</v>
      </c>
      <c r="J63" s="2">
        <v>6</v>
      </c>
    </row>
    <row r="64" spans="3:15" x14ac:dyDescent="0.35">
      <c r="C64" t="s">
        <v>394</v>
      </c>
      <c r="D64">
        <v>24</v>
      </c>
      <c r="F64" t="s">
        <v>394</v>
      </c>
      <c r="G64" s="2">
        <v>33.708333333333336</v>
      </c>
      <c r="I64" t="s">
        <v>395</v>
      </c>
      <c r="J64" s="2">
        <v>1.5</v>
      </c>
    </row>
    <row r="65" spans="3:10" x14ac:dyDescent="0.35">
      <c r="C65" t="s">
        <v>395</v>
      </c>
      <c r="D65">
        <v>24</v>
      </c>
      <c r="F65" t="s">
        <v>395</v>
      </c>
      <c r="G65" s="2">
        <v>36.291666666666664</v>
      </c>
      <c r="I65" t="s">
        <v>396</v>
      </c>
      <c r="J65" s="2">
        <v>2.75</v>
      </c>
    </row>
    <row r="66" spans="3:10" x14ac:dyDescent="0.35">
      <c r="C66" t="s">
        <v>396</v>
      </c>
      <c r="D66">
        <v>14</v>
      </c>
      <c r="F66" t="s">
        <v>396</v>
      </c>
      <c r="G66" s="2">
        <v>35.071428571428569</v>
      </c>
      <c r="I66" t="s">
        <v>397</v>
      </c>
      <c r="J66" s="2">
        <v>5</v>
      </c>
    </row>
    <row r="67" spans="3:10" x14ac:dyDescent="0.35">
      <c r="C67" t="s">
        <v>397</v>
      </c>
      <c r="D67">
        <v>14</v>
      </c>
      <c r="F67" t="s">
        <v>397</v>
      </c>
      <c r="G67" s="2">
        <v>31.571428571428573</v>
      </c>
      <c r="I67" t="s">
        <v>398</v>
      </c>
      <c r="J67" s="2">
        <v>5.5</v>
      </c>
    </row>
    <row r="68" spans="3:10" x14ac:dyDescent="0.35">
      <c r="C68" t="s">
        <v>398</v>
      </c>
      <c r="D68">
        <v>16</v>
      </c>
      <c r="F68" t="s">
        <v>398</v>
      </c>
      <c r="G68" s="2">
        <v>31.8125</v>
      </c>
      <c r="I68" t="s">
        <v>399</v>
      </c>
      <c r="J68" s="2">
        <v>5.0909090909090908</v>
      </c>
    </row>
    <row r="69" spans="3:10" x14ac:dyDescent="0.35">
      <c r="C69" t="s">
        <v>399</v>
      </c>
      <c r="D69">
        <v>26</v>
      </c>
      <c r="F69" t="s">
        <v>399</v>
      </c>
      <c r="G69" s="2">
        <v>36.846153846153847</v>
      </c>
      <c r="I69" t="s">
        <v>400</v>
      </c>
      <c r="J69" s="2">
        <v>7.666666666666667</v>
      </c>
    </row>
    <row r="70" spans="3:10" x14ac:dyDescent="0.35">
      <c r="C70" t="s">
        <v>400</v>
      </c>
      <c r="D70">
        <v>14</v>
      </c>
      <c r="F70" t="s">
        <v>400</v>
      </c>
      <c r="G70" s="2">
        <v>34.071428571428569</v>
      </c>
      <c r="I70" t="s">
        <v>401</v>
      </c>
      <c r="J70" s="2">
        <v>3.5</v>
      </c>
    </row>
    <row r="71" spans="3:10" x14ac:dyDescent="0.35">
      <c r="C71" t="s">
        <v>401</v>
      </c>
      <c r="D71">
        <v>22</v>
      </c>
      <c r="F71" t="s">
        <v>401</v>
      </c>
      <c r="G71" s="2">
        <v>33</v>
      </c>
      <c r="I71" t="s">
        <v>402</v>
      </c>
      <c r="J71" s="2">
        <v>3.6666666666666665</v>
      </c>
    </row>
    <row r="72" spans="3:10" x14ac:dyDescent="0.35">
      <c r="C72" t="s">
        <v>402</v>
      </c>
      <c r="D72">
        <v>18</v>
      </c>
      <c r="F72" t="s">
        <v>402</v>
      </c>
      <c r="G72" s="2">
        <v>40.222222222222221</v>
      </c>
      <c r="I72" t="s">
        <v>403</v>
      </c>
      <c r="J72" s="2">
        <v>3.8</v>
      </c>
    </row>
    <row r="73" spans="3:10" x14ac:dyDescent="0.35">
      <c r="C73" t="s">
        <v>403</v>
      </c>
      <c r="D73">
        <v>20</v>
      </c>
      <c r="F73" t="s">
        <v>403</v>
      </c>
      <c r="G73" s="2">
        <v>42.05</v>
      </c>
      <c r="I73" t="s">
        <v>404</v>
      </c>
      <c r="J73" s="2">
        <v>1</v>
      </c>
    </row>
    <row r="74" spans="3:10" x14ac:dyDescent="0.35">
      <c r="C74" t="s">
        <v>404</v>
      </c>
      <c r="D74">
        <v>13</v>
      </c>
      <c r="F74" t="s">
        <v>404</v>
      </c>
      <c r="G74" s="2">
        <v>42.615384615384613</v>
      </c>
      <c r="I74" t="s">
        <v>405</v>
      </c>
      <c r="J74" s="2">
        <v>7</v>
      </c>
    </row>
    <row r="75" spans="3:10" x14ac:dyDescent="0.35">
      <c r="C75" t="s">
        <v>405</v>
      </c>
      <c r="D75">
        <v>13</v>
      </c>
      <c r="F75" t="s">
        <v>405</v>
      </c>
      <c r="G75" s="2">
        <v>40.46153846153846</v>
      </c>
      <c r="I75" t="s">
        <v>406</v>
      </c>
      <c r="J75" s="2">
        <v>5</v>
      </c>
    </row>
    <row r="76" spans="3:10" x14ac:dyDescent="0.35">
      <c r="C76" t="s">
        <v>406</v>
      </c>
      <c r="D76">
        <v>14</v>
      </c>
      <c r="F76" t="s">
        <v>406</v>
      </c>
      <c r="G76" s="2">
        <v>34.071428571428569</v>
      </c>
      <c r="I76" t="s">
        <v>407</v>
      </c>
      <c r="J76" s="2">
        <v>4.25</v>
      </c>
    </row>
    <row r="77" spans="3:10" x14ac:dyDescent="0.35">
      <c r="C77" t="s">
        <v>407</v>
      </c>
      <c r="D77">
        <v>13</v>
      </c>
      <c r="F77" t="s">
        <v>407</v>
      </c>
      <c r="G77" s="2">
        <v>33.92307692307692</v>
      </c>
      <c r="I77" t="s">
        <v>408</v>
      </c>
      <c r="J77" s="2">
        <v>4</v>
      </c>
    </row>
    <row r="78" spans="3:10" x14ac:dyDescent="0.35">
      <c r="C78" t="s">
        <v>408</v>
      </c>
      <c r="D78">
        <v>18</v>
      </c>
      <c r="F78" t="s">
        <v>408</v>
      </c>
      <c r="G78" s="2">
        <v>43.166666666666664</v>
      </c>
      <c r="I78" t="s">
        <v>409</v>
      </c>
      <c r="J78" s="2">
        <v>7.333333333333333</v>
      </c>
    </row>
    <row r="79" spans="3:10" x14ac:dyDescent="0.35">
      <c r="C79" t="s">
        <v>409</v>
      </c>
      <c r="D79">
        <v>12</v>
      </c>
      <c r="F79" t="s">
        <v>409</v>
      </c>
      <c r="G79" s="2">
        <v>42.25</v>
      </c>
      <c r="I79" t="s">
        <v>410</v>
      </c>
      <c r="J79" s="2">
        <v>9</v>
      </c>
    </row>
    <row r="80" spans="3:10" x14ac:dyDescent="0.35">
      <c r="C80" t="s">
        <v>410</v>
      </c>
      <c r="D80">
        <v>11</v>
      </c>
      <c r="F80" t="s">
        <v>410</v>
      </c>
      <c r="G80" s="2">
        <v>44.090909090909093</v>
      </c>
      <c r="I80" t="s">
        <v>411</v>
      </c>
      <c r="J80" s="2">
        <v>5.25</v>
      </c>
    </row>
    <row r="81" spans="3:10" x14ac:dyDescent="0.35">
      <c r="C81" t="s">
        <v>411</v>
      </c>
      <c r="D81">
        <v>14</v>
      </c>
      <c r="F81" t="s">
        <v>411</v>
      </c>
      <c r="G81" s="2">
        <v>39</v>
      </c>
      <c r="I81" t="s">
        <v>412</v>
      </c>
      <c r="J81" s="2">
        <v>6.6</v>
      </c>
    </row>
    <row r="82" spans="3:10" x14ac:dyDescent="0.35">
      <c r="C82" t="s">
        <v>412</v>
      </c>
      <c r="D82">
        <v>12</v>
      </c>
      <c r="F82" t="s">
        <v>412</v>
      </c>
      <c r="G82" s="2">
        <v>31.25</v>
      </c>
      <c r="I82" t="s">
        <v>413</v>
      </c>
      <c r="J82" s="2">
        <v>6.25</v>
      </c>
    </row>
    <row r="83" spans="3:10" x14ac:dyDescent="0.35">
      <c r="C83" t="s">
        <v>413</v>
      </c>
      <c r="D83">
        <v>16</v>
      </c>
      <c r="F83" t="s">
        <v>413</v>
      </c>
      <c r="G83" s="2">
        <v>28.5</v>
      </c>
      <c r="I83" t="s">
        <v>414</v>
      </c>
      <c r="J83" s="2">
        <v>6.333333333333333</v>
      </c>
    </row>
    <row r="84" spans="3:10" x14ac:dyDescent="0.35">
      <c r="C84" t="s">
        <v>414</v>
      </c>
      <c r="D84">
        <v>16</v>
      </c>
      <c r="F84" t="s">
        <v>414</v>
      </c>
      <c r="G84" s="2">
        <v>34.0625</v>
      </c>
      <c r="I84" t="s">
        <v>415</v>
      </c>
      <c r="J84" s="2">
        <v>7</v>
      </c>
    </row>
    <row r="85" spans="3:10" x14ac:dyDescent="0.35">
      <c r="C85" t="s">
        <v>415</v>
      </c>
      <c r="D85">
        <v>15</v>
      </c>
      <c r="F85" t="s">
        <v>415</v>
      </c>
      <c r="G85" s="2">
        <v>25.2</v>
      </c>
      <c r="I85" t="s">
        <v>416</v>
      </c>
      <c r="J85" s="2">
        <v>5.666666666666667</v>
      </c>
    </row>
    <row r="86" spans="3:10" x14ac:dyDescent="0.35">
      <c r="C86" t="s">
        <v>416</v>
      </c>
      <c r="D86">
        <v>22</v>
      </c>
      <c r="F86" t="s">
        <v>416</v>
      </c>
      <c r="G86" s="2">
        <v>35.863636363636367</v>
      </c>
      <c r="I86" t="s">
        <v>417</v>
      </c>
      <c r="J86" s="2">
        <v>3.3333333333333335</v>
      </c>
    </row>
    <row r="87" spans="3:10" x14ac:dyDescent="0.35">
      <c r="C87" t="s">
        <v>417</v>
      </c>
      <c r="D87">
        <v>18</v>
      </c>
      <c r="F87" t="s">
        <v>417</v>
      </c>
      <c r="G87" s="2">
        <v>39.833333333333336</v>
      </c>
      <c r="I87" t="s">
        <v>418</v>
      </c>
      <c r="J87" s="2">
        <v>4.75</v>
      </c>
    </row>
    <row r="88" spans="3:10" x14ac:dyDescent="0.35">
      <c r="C88" t="s">
        <v>418</v>
      </c>
      <c r="D88">
        <v>10</v>
      </c>
      <c r="F88" t="s">
        <v>418</v>
      </c>
      <c r="G88" s="2">
        <v>37</v>
      </c>
      <c r="I88" t="s">
        <v>419</v>
      </c>
      <c r="J88" s="2">
        <v>2</v>
      </c>
    </row>
    <row r="89" spans="3:10" x14ac:dyDescent="0.35">
      <c r="C89" t="s">
        <v>419</v>
      </c>
      <c r="D89">
        <v>17</v>
      </c>
      <c r="F89" t="s">
        <v>419</v>
      </c>
      <c r="G89" s="2">
        <v>39.411764705882355</v>
      </c>
      <c r="I89" t="s">
        <v>420</v>
      </c>
      <c r="J89" s="2">
        <v>9.25</v>
      </c>
    </row>
    <row r="90" spans="3:10" x14ac:dyDescent="0.35">
      <c r="C90" t="s">
        <v>420</v>
      </c>
      <c r="D90">
        <v>17</v>
      </c>
      <c r="F90" t="s">
        <v>420</v>
      </c>
      <c r="G90" s="2">
        <v>30.294117647058822</v>
      </c>
      <c r="I90" t="s">
        <v>421</v>
      </c>
      <c r="J90" s="2">
        <v>2.6666666666666665</v>
      </c>
    </row>
    <row r="91" spans="3:10" x14ac:dyDescent="0.35">
      <c r="C91" t="s">
        <v>421</v>
      </c>
      <c r="D91">
        <v>12</v>
      </c>
      <c r="F91" t="s">
        <v>421</v>
      </c>
      <c r="G91" s="2">
        <v>32.666666666666664</v>
      </c>
      <c r="I91" t="s">
        <v>422</v>
      </c>
      <c r="J91" s="2">
        <v>4</v>
      </c>
    </row>
    <row r="92" spans="3:10" x14ac:dyDescent="0.35">
      <c r="C92" t="s">
        <v>422</v>
      </c>
      <c r="D92">
        <v>14</v>
      </c>
      <c r="F92" t="s">
        <v>422</v>
      </c>
      <c r="G92" s="2">
        <v>30.571428571428573</v>
      </c>
      <c r="I92" t="s">
        <v>423</v>
      </c>
      <c r="J92" s="2">
        <v>8.75</v>
      </c>
    </row>
    <row r="93" spans="3:10" x14ac:dyDescent="0.35">
      <c r="C93" t="s">
        <v>423</v>
      </c>
      <c r="D93">
        <v>18</v>
      </c>
      <c r="F93" t="s">
        <v>423</v>
      </c>
      <c r="G93" s="2">
        <v>39.055555555555557</v>
      </c>
      <c r="I93" t="s">
        <v>43</v>
      </c>
      <c r="J93" s="2">
        <v>3.8</v>
      </c>
    </row>
    <row r="94" spans="3:10" x14ac:dyDescent="0.35">
      <c r="C94" t="s">
        <v>43</v>
      </c>
      <c r="D94">
        <v>31</v>
      </c>
      <c r="F94" t="s">
        <v>43</v>
      </c>
      <c r="G94" s="2">
        <v>37.12903225806452</v>
      </c>
      <c r="I94" t="s">
        <v>44</v>
      </c>
      <c r="J94" s="2">
        <v>6</v>
      </c>
    </row>
    <row r="95" spans="3:10" x14ac:dyDescent="0.35">
      <c r="C95" t="s">
        <v>44</v>
      </c>
      <c r="D95">
        <v>32</v>
      </c>
      <c r="F95" t="s">
        <v>44</v>
      </c>
      <c r="G95" s="2">
        <v>35.34375</v>
      </c>
      <c r="I95" t="s">
        <v>45</v>
      </c>
      <c r="J95" s="2">
        <v>4.5999999999999996</v>
      </c>
    </row>
    <row r="96" spans="3:10" x14ac:dyDescent="0.35">
      <c r="C96" t="s">
        <v>45</v>
      </c>
      <c r="D96">
        <v>31</v>
      </c>
      <c r="F96" t="s">
        <v>45</v>
      </c>
      <c r="G96" s="2">
        <v>33.064516129032256</v>
      </c>
      <c r="I96" t="s">
        <v>46</v>
      </c>
      <c r="J96" s="2">
        <v>5.7142857142857144</v>
      </c>
    </row>
    <row r="97" spans="3:10" x14ac:dyDescent="0.35">
      <c r="C97" t="s">
        <v>46</v>
      </c>
      <c r="D97">
        <v>29</v>
      </c>
      <c r="F97" t="s">
        <v>46</v>
      </c>
      <c r="G97" s="2">
        <v>33.482758620689658</v>
      </c>
      <c r="I97" t="s">
        <v>47</v>
      </c>
      <c r="J97" s="2">
        <v>4.666666666666667</v>
      </c>
    </row>
    <row r="98" spans="3:10" x14ac:dyDescent="0.35">
      <c r="C98" t="s">
        <v>47</v>
      </c>
      <c r="D98">
        <v>34</v>
      </c>
      <c r="F98" t="s">
        <v>47</v>
      </c>
      <c r="G98" s="2">
        <v>34</v>
      </c>
      <c r="I98" t="s">
        <v>48</v>
      </c>
      <c r="J98" s="2">
        <v>3.4</v>
      </c>
    </row>
    <row r="99" spans="3:10" x14ac:dyDescent="0.35">
      <c r="C99" t="s">
        <v>48</v>
      </c>
      <c r="D99">
        <v>31</v>
      </c>
      <c r="F99" t="s">
        <v>48</v>
      </c>
      <c r="G99" s="2">
        <v>34.354838709677416</v>
      </c>
      <c r="I99" t="s">
        <v>49</v>
      </c>
      <c r="J99" s="2">
        <v>5</v>
      </c>
    </row>
    <row r="100" spans="3:10" x14ac:dyDescent="0.35">
      <c r="C100" t="s">
        <v>49</v>
      </c>
      <c r="D100">
        <v>27</v>
      </c>
      <c r="F100" t="s">
        <v>49</v>
      </c>
      <c r="G100" s="2">
        <v>32.666666666666664</v>
      </c>
      <c r="I100" t="s">
        <v>50</v>
      </c>
      <c r="J100" s="2">
        <v>5.8571428571428568</v>
      </c>
    </row>
    <row r="101" spans="3:10" x14ac:dyDescent="0.35">
      <c r="C101" t="s">
        <v>50</v>
      </c>
      <c r="D101">
        <v>32</v>
      </c>
      <c r="F101" t="s">
        <v>50</v>
      </c>
      <c r="G101" s="2">
        <v>30.3125</v>
      </c>
      <c r="I101" t="s">
        <v>51</v>
      </c>
      <c r="J101" s="2">
        <v>4.8888888888888893</v>
      </c>
    </row>
    <row r="102" spans="3:10" x14ac:dyDescent="0.35">
      <c r="C102" t="s">
        <v>51</v>
      </c>
      <c r="D102">
        <v>27</v>
      </c>
      <c r="F102" t="s">
        <v>51</v>
      </c>
      <c r="G102" s="2">
        <v>33.925925925925924</v>
      </c>
      <c r="I102" t="s">
        <v>52</v>
      </c>
      <c r="J102" s="2">
        <v>6</v>
      </c>
    </row>
    <row r="103" spans="3:10" x14ac:dyDescent="0.35">
      <c r="C103" t="s">
        <v>52</v>
      </c>
      <c r="D103">
        <v>27</v>
      </c>
      <c r="F103" t="s">
        <v>52</v>
      </c>
      <c r="G103" s="2">
        <v>32.037037037037038</v>
      </c>
      <c r="I103" t="s">
        <v>53</v>
      </c>
      <c r="J103" s="2">
        <v>4.7142857142857144</v>
      </c>
    </row>
    <row r="104" spans="3:10" x14ac:dyDescent="0.35">
      <c r="C104" t="s">
        <v>53</v>
      </c>
      <c r="D104">
        <v>33</v>
      </c>
      <c r="F104" t="s">
        <v>53</v>
      </c>
      <c r="G104" s="2">
        <v>38.606060606060609</v>
      </c>
      <c r="I104" t="s">
        <v>54</v>
      </c>
      <c r="J104" s="2">
        <v>7.1428571428571432</v>
      </c>
    </row>
    <row r="105" spans="3:10" x14ac:dyDescent="0.35">
      <c r="C105" t="s">
        <v>54</v>
      </c>
      <c r="D105">
        <v>42</v>
      </c>
      <c r="F105" t="s">
        <v>54</v>
      </c>
      <c r="G105" s="2">
        <v>36.761904761904759</v>
      </c>
      <c r="I105" t="s">
        <v>55</v>
      </c>
      <c r="J105" s="2">
        <v>4.333333333333333</v>
      </c>
    </row>
    <row r="106" spans="3:10" x14ac:dyDescent="0.35">
      <c r="C106" t="s">
        <v>55</v>
      </c>
      <c r="D106">
        <v>25</v>
      </c>
      <c r="F106" t="s">
        <v>55</v>
      </c>
      <c r="G106" s="2">
        <v>28.52</v>
      </c>
      <c r="I106" t="s">
        <v>56</v>
      </c>
      <c r="J106" s="2">
        <v>6.7333333333333334</v>
      </c>
    </row>
    <row r="107" spans="3:10" x14ac:dyDescent="0.35">
      <c r="C107" t="s">
        <v>56</v>
      </c>
      <c r="D107">
        <v>34</v>
      </c>
      <c r="F107" t="s">
        <v>56</v>
      </c>
      <c r="G107" s="2">
        <v>33.882352941176471</v>
      </c>
      <c r="I107" t="s">
        <v>57</v>
      </c>
      <c r="J107" s="2">
        <v>5.2857142857142856</v>
      </c>
    </row>
    <row r="108" spans="3:10" x14ac:dyDescent="0.35">
      <c r="C108" t="s">
        <v>57</v>
      </c>
      <c r="D108">
        <v>32</v>
      </c>
      <c r="F108" t="s">
        <v>57</v>
      </c>
      <c r="G108" s="2">
        <v>39.625</v>
      </c>
      <c r="I108" t="s">
        <v>58</v>
      </c>
      <c r="J108" s="2">
        <v>4.916666666666667</v>
      </c>
    </row>
    <row r="109" spans="3:10" x14ac:dyDescent="0.35">
      <c r="C109" t="s">
        <v>58</v>
      </c>
      <c r="D109">
        <v>34</v>
      </c>
      <c r="F109" t="s">
        <v>58</v>
      </c>
      <c r="G109" s="2">
        <v>31.823529411764707</v>
      </c>
      <c r="I109" t="s">
        <v>59</v>
      </c>
      <c r="J109" s="2">
        <v>4.333333333333333</v>
      </c>
    </row>
    <row r="110" spans="3:10" x14ac:dyDescent="0.35">
      <c r="C110" t="s">
        <v>59</v>
      </c>
      <c r="D110">
        <v>26</v>
      </c>
      <c r="F110" t="s">
        <v>59</v>
      </c>
      <c r="G110" s="2">
        <v>37.769230769230766</v>
      </c>
      <c r="I110" t="s">
        <v>60</v>
      </c>
      <c r="J110" s="2">
        <v>5.333333333333333</v>
      </c>
    </row>
    <row r="111" spans="3:10" x14ac:dyDescent="0.35">
      <c r="C111" t="s">
        <v>60</v>
      </c>
      <c r="D111">
        <v>36</v>
      </c>
      <c r="F111" t="s">
        <v>60</v>
      </c>
      <c r="G111" s="2">
        <v>38.055555555555557</v>
      </c>
      <c r="I111" t="s">
        <v>61</v>
      </c>
      <c r="J111" s="2">
        <v>4.3636363636363633</v>
      </c>
    </row>
    <row r="112" spans="3:10" x14ac:dyDescent="0.35">
      <c r="C112" t="s">
        <v>61</v>
      </c>
      <c r="D112">
        <v>31</v>
      </c>
      <c r="F112" t="s">
        <v>61</v>
      </c>
      <c r="G112" s="2">
        <v>30.129032258064516</v>
      </c>
      <c r="I112" t="s">
        <v>62</v>
      </c>
      <c r="J112" s="2">
        <v>2.9090909090909092</v>
      </c>
    </row>
    <row r="113" spans="3:10" x14ac:dyDescent="0.35">
      <c r="C113" t="s">
        <v>62</v>
      </c>
      <c r="D113">
        <v>32</v>
      </c>
      <c r="F113" t="s">
        <v>62</v>
      </c>
      <c r="G113" s="2">
        <v>35.03125</v>
      </c>
      <c r="I113" t="s">
        <v>63</v>
      </c>
      <c r="J113" s="2">
        <v>4.5</v>
      </c>
    </row>
    <row r="114" spans="3:10" x14ac:dyDescent="0.35">
      <c r="C114" t="s">
        <v>63</v>
      </c>
      <c r="D114">
        <v>33</v>
      </c>
      <c r="F114" t="s">
        <v>63</v>
      </c>
      <c r="G114" s="2">
        <v>35.303030303030305</v>
      </c>
      <c r="I114" t="s">
        <v>64</v>
      </c>
      <c r="J114" s="2">
        <v>6.1</v>
      </c>
    </row>
    <row r="115" spans="3:10" x14ac:dyDescent="0.35">
      <c r="C115" t="s">
        <v>64</v>
      </c>
      <c r="D115">
        <v>39</v>
      </c>
      <c r="F115" t="s">
        <v>64</v>
      </c>
      <c r="G115" s="2">
        <v>35.717948717948715</v>
      </c>
      <c r="I115" t="s">
        <v>65</v>
      </c>
      <c r="J115" s="2">
        <v>6.666666666666667</v>
      </c>
    </row>
    <row r="116" spans="3:10" x14ac:dyDescent="0.35">
      <c r="C116" t="s">
        <v>65</v>
      </c>
      <c r="D116">
        <v>27</v>
      </c>
      <c r="F116" t="s">
        <v>65</v>
      </c>
      <c r="G116" s="2">
        <v>41.407407407407405</v>
      </c>
      <c r="I116" t="s">
        <v>66</v>
      </c>
      <c r="J116" s="2">
        <v>5</v>
      </c>
    </row>
    <row r="117" spans="3:10" x14ac:dyDescent="0.35">
      <c r="C117" t="s">
        <v>66</v>
      </c>
      <c r="D117">
        <v>32</v>
      </c>
      <c r="F117" t="s">
        <v>66</v>
      </c>
      <c r="G117" s="2">
        <v>37.28125</v>
      </c>
      <c r="I117" t="s">
        <v>67</v>
      </c>
      <c r="J117" s="2">
        <v>2.5555555555555554</v>
      </c>
    </row>
    <row r="118" spans="3:10" x14ac:dyDescent="0.35">
      <c r="C118" t="s">
        <v>67</v>
      </c>
      <c r="D118">
        <v>33</v>
      </c>
      <c r="F118" t="s">
        <v>67</v>
      </c>
      <c r="G118" s="2">
        <v>38.575757575757578</v>
      </c>
      <c r="I118" t="s">
        <v>68</v>
      </c>
      <c r="J118" s="2">
        <v>5.5714285714285712</v>
      </c>
    </row>
    <row r="119" spans="3:10" x14ac:dyDescent="0.35">
      <c r="C119" t="s">
        <v>68</v>
      </c>
      <c r="D119">
        <v>34</v>
      </c>
      <c r="F119" t="s">
        <v>68</v>
      </c>
      <c r="G119" s="2">
        <v>33.411764705882355</v>
      </c>
      <c r="I119" t="s">
        <v>69</v>
      </c>
      <c r="J119" s="2">
        <v>4.8461538461538458</v>
      </c>
    </row>
    <row r="120" spans="3:10" x14ac:dyDescent="0.35">
      <c r="C120" t="s">
        <v>69</v>
      </c>
      <c r="D120">
        <v>35</v>
      </c>
      <c r="F120" t="s">
        <v>69</v>
      </c>
      <c r="G120" s="2">
        <v>36.6</v>
      </c>
      <c r="I120" t="s">
        <v>70</v>
      </c>
      <c r="J120" s="2">
        <v>4.8888888888888893</v>
      </c>
    </row>
    <row r="121" spans="3:10" x14ac:dyDescent="0.35">
      <c r="C121" t="s">
        <v>70</v>
      </c>
      <c r="D121">
        <v>32</v>
      </c>
      <c r="F121" t="s">
        <v>70</v>
      </c>
      <c r="G121" s="2">
        <v>31.875</v>
      </c>
      <c r="I121" t="s">
        <v>71</v>
      </c>
      <c r="J121" s="2">
        <v>4.8</v>
      </c>
    </row>
    <row r="122" spans="3:10" x14ac:dyDescent="0.35">
      <c r="C122" t="s">
        <v>71</v>
      </c>
      <c r="D122">
        <v>27</v>
      </c>
      <c r="F122" t="s">
        <v>71</v>
      </c>
      <c r="G122" s="2">
        <v>36.925925925925924</v>
      </c>
      <c r="I122" t="s">
        <v>72</v>
      </c>
      <c r="J122" s="2">
        <v>5.375</v>
      </c>
    </row>
    <row r="123" spans="3:10" x14ac:dyDescent="0.35">
      <c r="C123" t="s">
        <v>72</v>
      </c>
      <c r="D123">
        <v>30</v>
      </c>
      <c r="F123" t="s">
        <v>72</v>
      </c>
      <c r="G123" s="2">
        <v>33.533333333333331</v>
      </c>
      <c r="I123" t="s">
        <v>73</v>
      </c>
      <c r="J123" s="2">
        <v>6.8571428571428568</v>
      </c>
    </row>
    <row r="124" spans="3:10" x14ac:dyDescent="0.35">
      <c r="C124" t="s">
        <v>73</v>
      </c>
      <c r="D124">
        <v>34</v>
      </c>
      <c r="F124" t="s">
        <v>73</v>
      </c>
      <c r="G124" s="2">
        <v>33.205882352941174</v>
      </c>
      <c r="I124" t="s">
        <v>74</v>
      </c>
      <c r="J124" s="2">
        <v>4.3636363636363633</v>
      </c>
    </row>
    <row r="125" spans="3:10" x14ac:dyDescent="0.35">
      <c r="C125" t="s">
        <v>74</v>
      </c>
      <c r="D125">
        <v>37</v>
      </c>
      <c r="F125" t="s">
        <v>74</v>
      </c>
      <c r="G125" s="2">
        <v>30.135135135135137</v>
      </c>
      <c r="I125" t="s">
        <v>75</v>
      </c>
      <c r="J125" s="2">
        <v>6.416666666666667</v>
      </c>
    </row>
    <row r="126" spans="3:10" x14ac:dyDescent="0.35">
      <c r="C126" t="s">
        <v>75</v>
      </c>
      <c r="D126">
        <v>41</v>
      </c>
      <c r="F126" t="s">
        <v>75</v>
      </c>
      <c r="G126" s="2">
        <v>38.512195121951223</v>
      </c>
      <c r="I126" t="s">
        <v>76</v>
      </c>
      <c r="J126" s="2">
        <v>5.5384615384615383</v>
      </c>
    </row>
    <row r="127" spans="3:10" x14ac:dyDescent="0.35">
      <c r="C127" t="s">
        <v>76</v>
      </c>
      <c r="D127">
        <v>31</v>
      </c>
      <c r="F127" t="s">
        <v>76</v>
      </c>
      <c r="G127" s="2">
        <v>34.806451612903224</v>
      </c>
      <c r="I127" t="s">
        <v>77</v>
      </c>
      <c r="J127" s="2">
        <v>5</v>
      </c>
    </row>
    <row r="128" spans="3:10" x14ac:dyDescent="0.35">
      <c r="C128" t="s">
        <v>77</v>
      </c>
      <c r="D128">
        <v>29</v>
      </c>
      <c r="F128" t="s">
        <v>77</v>
      </c>
      <c r="G128" s="2">
        <v>34.517241379310342</v>
      </c>
      <c r="I128" t="s">
        <v>78</v>
      </c>
      <c r="J128" s="2">
        <v>4.9090909090909092</v>
      </c>
    </row>
    <row r="129" spans="3:10" x14ac:dyDescent="0.35">
      <c r="C129" t="s">
        <v>78</v>
      </c>
      <c r="D129">
        <v>33</v>
      </c>
      <c r="F129" t="s">
        <v>78</v>
      </c>
      <c r="G129" s="2">
        <v>36.575757575757578</v>
      </c>
      <c r="I129" t="s">
        <v>79</v>
      </c>
      <c r="J129" s="2">
        <v>3.3</v>
      </c>
    </row>
    <row r="130" spans="3:10" x14ac:dyDescent="0.35">
      <c r="C130" t="s">
        <v>79</v>
      </c>
      <c r="D130">
        <v>30</v>
      </c>
      <c r="F130" t="s">
        <v>79</v>
      </c>
      <c r="G130" s="2">
        <v>35.833333333333336</v>
      </c>
      <c r="I130" t="s">
        <v>80</v>
      </c>
      <c r="J130" s="2">
        <v>4.7</v>
      </c>
    </row>
    <row r="131" spans="3:10" x14ac:dyDescent="0.35">
      <c r="C131" t="s">
        <v>80</v>
      </c>
      <c r="D131">
        <v>37</v>
      </c>
      <c r="F131" t="s">
        <v>80</v>
      </c>
      <c r="G131" s="2">
        <v>35.567567567567565</v>
      </c>
      <c r="I131" t="s">
        <v>81</v>
      </c>
      <c r="J131" s="2">
        <v>4.666666666666667</v>
      </c>
    </row>
    <row r="132" spans="3:10" x14ac:dyDescent="0.35">
      <c r="C132" t="s">
        <v>81</v>
      </c>
      <c r="D132">
        <v>33</v>
      </c>
      <c r="F132" t="s">
        <v>81</v>
      </c>
      <c r="G132" s="2">
        <v>36.333333333333336</v>
      </c>
      <c r="I132" t="s">
        <v>82</v>
      </c>
      <c r="J132" s="2">
        <v>4.875</v>
      </c>
    </row>
    <row r="133" spans="3:10" x14ac:dyDescent="0.35">
      <c r="C133" t="s">
        <v>82</v>
      </c>
      <c r="D133">
        <v>37</v>
      </c>
      <c r="F133" t="s">
        <v>82</v>
      </c>
      <c r="G133" s="2">
        <v>31.351351351351351</v>
      </c>
      <c r="I133" t="s">
        <v>83</v>
      </c>
      <c r="J133" s="2">
        <v>5.333333333333333</v>
      </c>
    </row>
    <row r="134" spans="3:10" x14ac:dyDescent="0.35">
      <c r="C134" t="s">
        <v>83</v>
      </c>
      <c r="D134">
        <v>31</v>
      </c>
      <c r="F134" t="s">
        <v>83</v>
      </c>
      <c r="G134" s="2">
        <v>31.64516129032258</v>
      </c>
      <c r="I134" t="s">
        <v>84</v>
      </c>
      <c r="J134" s="2">
        <v>4.125</v>
      </c>
    </row>
    <row r="135" spans="3:10" x14ac:dyDescent="0.35">
      <c r="C135" t="s">
        <v>84</v>
      </c>
      <c r="D135">
        <v>25</v>
      </c>
      <c r="F135" t="s">
        <v>84</v>
      </c>
      <c r="G135" s="2">
        <v>40.200000000000003</v>
      </c>
      <c r="I135" t="s">
        <v>85</v>
      </c>
      <c r="J135" s="2">
        <v>6</v>
      </c>
    </row>
    <row r="136" spans="3:10" x14ac:dyDescent="0.35">
      <c r="C136" t="s">
        <v>85</v>
      </c>
      <c r="D136">
        <v>25</v>
      </c>
      <c r="F136" t="s">
        <v>85</v>
      </c>
      <c r="G136" s="2">
        <v>38</v>
      </c>
      <c r="I136" t="s">
        <v>86</v>
      </c>
      <c r="J136" s="2">
        <v>4.3</v>
      </c>
    </row>
    <row r="137" spans="3:10" x14ac:dyDescent="0.35">
      <c r="C137" t="s">
        <v>86</v>
      </c>
      <c r="D137">
        <v>25</v>
      </c>
      <c r="F137" t="s">
        <v>86</v>
      </c>
      <c r="G137" s="2">
        <v>30.56</v>
      </c>
      <c r="I137" t="s">
        <v>87</v>
      </c>
      <c r="J137" s="2">
        <v>4.2</v>
      </c>
    </row>
    <row r="138" spans="3:10" x14ac:dyDescent="0.35">
      <c r="C138" t="s">
        <v>87</v>
      </c>
      <c r="D138">
        <v>23</v>
      </c>
      <c r="F138" t="s">
        <v>87</v>
      </c>
      <c r="G138" s="2">
        <v>34.565217391304351</v>
      </c>
      <c r="I138" t="s">
        <v>88</v>
      </c>
      <c r="J138" s="2">
        <v>6.8666666666666663</v>
      </c>
    </row>
    <row r="139" spans="3:10" x14ac:dyDescent="0.35">
      <c r="C139" t="s">
        <v>88</v>
      </c>
      <c r="D139">
        <v>41</v>
      </c>
      <c r="F139" t="s">
        <v>88</v>
      </c>
      <c r="G139" s="2">
        <v>32.902439024390247</v>
      </c>
      <c r="I139" t="s">
        <v>89</v>
      </c>
      <c r="J139" s="2">
        <v>6.2857142857142856</v>
      </c>
    </row>
    <row r="140" spans="3:10" x14ac:dyDescent="0.35">
      <c r="C140" t="s">
        <v>89</v>
      </c>
      <c r="D140">
        <v>31</v>
      </c>
      <c r="F140" t="s">
        <v>89</v>
      </c>
      <c r="G140" s="2">
        <v>33.451612903225808</v>
      </c>
      <c r="I140" t="s">
        <v>90</v>
      </c>
      <c r="J140" s="2">
        <v>4.0909090909090908</v>
      </c>
    </row>
    <row r="141" spans="3:10" x14ac:dyDescent="0.35">
      <c r="C141" t="s">
        <v>90</v>
      </c>
      <c r="D141">
        <v>34</v>
      </c>
      <c r="F141" t="s">
        <v>90</v>
      </c>
      <c r="G141" s="2">
        <v>36.117647058823529</v>
      </c>
      <c r="I141" t="s">
        <v>91</v>
      </c>
      <c r="J141" s="2">
        <v>4</v>
      </c>
    </row>
    <row r="142" spans="3:10" x14ac:dyDescent="0.35">
      <c r="C142" t="s">
        <v>91</v>
      </c>
      <c r="D142">
        <v>31</v>
      </c>
      <c r="F142" t="s">
        <v>91</v>
      </c>
      <c r="G142" s="2">
        <v>36.322580645161288</v>
      </c>
      <c r="I142" t="s">
        <v>92</v>
      </c>
      <c r="J142" s="2">
        <v>5.4285714285714288</v>
      </c>
    </row>
    <row r="143" spans="3:10" x14ac:dyDescent="0.35">
      <c r="C143" t="s">
        <v>92</v>
      </c>
      <c r="D143">
        <v>31</v>
      </c>
      <c r="F143" t="s">
        <v>92</v>
      </c>
      <c r="G143" s="2">
        <v>32.806451612903224</v>
      </c>
      <c r="I143" t="s">
        <v>93</v>
      </c>
      <c r="J143" s="2">
        <v>5.8</v>
      </c>
    </row>
    <row r="144" spans="3:10" x14ac:dyDescent="0.35">
      <c r="C144" t="s">
        <v>93</v>
      </c>
      <c r="D144">
        <v>44</v>
      </c>
      <c r="F144" t="s">
        <v>93</v>
      </c>
      <c r="G144" s="2">
        <v>37.704545454545453</v>
      </c>
      <c r="I144" t="s">
        <v>94</v>
      </c>
      <c r="J144" s="2">
        <v>4.5625</v>
      </c>
    </row>
    <row r="145" spans="3:10" x14ac:dyDescent="0.35">
      <c r="C145" t="s">
        <v>94</v>
      </c>
      <c r="D145">
        <v>43</v>
      </c>
      <c r="F145" t="s">
        <v>94</v>
      </c>
      <c r="G145" s="2">
        <v>36.534883720930232</v>
      </c>
      <c r="I145" t="s">
        <v>95</v>
      </c>
      <c r="J145" s="2">
        <v>4.5454545454545459</v>
      </c>
    </row>
    <row r="146" spans="3:10" x14ac:dyDescent="0.35">
      <c r="C146" t="s">
        <v>95</v>
      </c>
      <c r="D146">
        <v>33</v>
      </c>
      <c r="F146" t="s">
        <v>95</v>
      </c>
      <c r="G146" s="2">
        <v>35.303030303030305</v>
      </c>
      <c r="I146" t="s">
        <v>96</v>
      </c>
      <c r="J146" s="2">
        <v>5.75</v>
      </c>
    </row>
    <row r="147" spans="3:10" x14ac:dyDescent="0.35">
      <c r="C147" t="s">
        <v>96</v>
      </c>
      <c r="D147">
        <v>28</v>
      </c>
      <c r="F147" t="s">
        <v>96</v>
      </c>
      <c r="G147" s="2">
        <v>41.535714285714285</v>
      </c>
      <c r="I147" t="s">
        <v>97</v>
      </c>
      <c r="J147" s="2">
        <v>5.2</v>
      </c>
    </row>
    <row r="148" spans="3:10" x14ac:dyDescent="0.35">
      <c r="C148" t="s">
        <v>97</v>
      </c>
      <c r="D148">
        <v>34</v>
      </c>
      <c r="F148" t="s">
        <v>97</v>
      </c>
      <c r="G148" s="2">
        <v>38.147058823529413</v>
      </c>
      <c r="I148" t="s">
        <v>98</v>
      </c>
      <c r="J148" s="2">
        <v>7.25</v>
      </c>
    </row>
    <row r="149" spans="3:10" x14ac:dyDescent="0.35">
      <c r="C149" t="s">
        <v>98</v>
      </c>
      <c r="D149">
        <v>24</v>
      </c>
      <c r="F149" t="s">
        <v>98</v>
      </c>
      <c r="G149" s="2">
        <v>37.166666666666664</v>
      </c>
      <c r="I149" t="s">
        <v>99</v>
      </c>
      <c r="J149" s="2">
        <v>4.8</v>
      </c>
    </row>
    <row r="150" spans="3:10" x14ac:dyDescent="0.35">
      <c r="C150" t="s">
        <v>99</v>
      </c>
      <c r="D150">
        <v>27</v>
      </c>
      <c r="F150" t="s">
        <v>99</v>
      </c>
      <c r="G150" s="2">
        <v>33.629629629629626</v>
      </c>
      <c r="I150" t="s">
        <v>100</v>
      </c>
      <c r="J150" s="2">
        <v>4.5384615384615383</v>
      </c>
    </row>
    <row r="151" spans="3:10" x14ac:dyDescent="0.35">
      <c r="C151" t="s">
        <v>100</v>
      </c>
      <c r="D151">
        <v>23</v>
      </c>
      <c r="F151" t="s">
        <v>100</v>
      </c>
      <c r="G151" s="2">
        <v>33.130434782608695</v>
      </c>
      <c r="I151" t="s">
        <v>101</v>
      </c>
      <c r="J151" s="2">
        <v>4.5999999999999996</v>
      </c>
    </row>
    <row r="152" spans="3:10" x14ac:dyDescent="0.35">
      <c r="C152" t="s">
        <v>101</v>
      </c>
      <c r="D152">
        <v>35</v>
      </c>
      <c r="F152" t="s">
        <v>101</v>
      </c>
      <c r="G152" s="2">
        <v>36.085714285714289</v>
      </c>
      <c r="I152" t="s">
        <v>102</v>
      </c>
      <c r="J152" s="2">
        <v>5</v>
      </c>
    </row>
    <row r="153" spans="3:10" x14ac:dyDescent="0.35">
      <c r="C153" t="s">
        <v>102</v>
      </c>
      <c r="D153">
        <v>39</v>
      </c>
      <c r="F153" t="s">
        <v>102</v>
      </c>
      <c r="G153" s="2">
        <v>33.512820512820511</v>
      </c>
      <c r="I153" t="s">
        <v>103</v>
      </c>
      <c r="J153" s="2">
        <v>7</v>
      </c>
    </row>
    <row r="154" spans="3:10" x14ac:dyDescent="0.35">
      <c r="C154" t="s">
        <v>103</v>
      </c>
      <c r="D154">
        <v>30</v>
      </c>
      <c r="F154" t="s">
        <v>103</v>
      </c>
      <c r="G154" s="2">
        <v>33.733333333333334</v>
      </c>
      <c r="I154" t="s">
        <v>104</v>
      </c>
      <c r="J154" s="2">
        <v>4.7777777777777777</v>
      </c>
    </row>
    <row r="155" spans="3:10" x14ac:dyDescent="0.35">
      <c r="C155" t="s">
        <v>104</v>
      </c>
      <c r="D155">
        <v>43</v>
      </c>
      <c r="F155" t="s">
        <v>104</v>
      </c>
      <c r="G155" s="2">
        <v>34.279069767441861</v>
      </c>
      <c r="I155" t="s">
        <v>105</v>
      </c>
      <c r="J155" s="2">
        <v>5.2727272727272725</v>
      </c>
    </row>
    <row r="156" spans="3:10" x14ac:dyDescent="0.35">
      <c r="C156" t="s">
        <v>105</v>
      </c>
      <c r="D156">
        <v>27</v>
      </c>
      <c r="F156" t="s">
        <v>105</v>
      </c>
      <c r="G156" s="2">
        <v>36.222222222222221</v>
      </c>
      <c r="I156" t="s">
        <v>106</v>
      </c>
      <c r="J156" s="2">
        <v>4.2727272727272725</v>
      </c>
    </row>
    <row r="157" spans="3:10" x14ac:dyDescent="0.35">
      <c r="C157" t="s">
        <v>106</v>
      </c>
      <c r="D157">
        <v>42</v>
      </c>
      <c r="F157" t="s">
        <v>106</v>
      </c>
      <c r="G157" s="2">
        <v>35.904761904761905</v>
      </c>
      <c r="I157" t="s">
        <v>107</v>
      </c>
      <c r="J157" s="2">
        <v>5</v>
      </c>
    </row>
    <row r="158" spans="3:10" x14ac:dyDescent="0.35">
      <c r="C158" t="s">
        <v>107</v>
      </c>
      <c r="D158">
        <v>32</v>
      </c>
      <c r="F158" t="s">
        <v>107</v>
      </c>
      <c r="G158" s="2">
        <v>32.53125</v>
      </c>
      <c r="I158" t="s">
        <v>108</v>
      </c>
      <c r="J158" s="2">
        <v>4.3571428571428568</v>
      </c>
    </row>
    <row r="159" spans="3:10" x14ac:dyDescent="0.35">
      <c r="C159" t="s">
        <v>108</v>
      </c>
      <c r="D159">
        <v>32</v>
      </c>
      <c r="F159" t="s">
        <v>108</v>
      </c>
      <c r="G159" s="2">
        <v>33.84375</v>
      </c>
      <c r="I159" t="s">
        <v>109</v>
      </c>
      <c r="J159" s="2">
        <v>4.8571428571428568</v>
      </c>
    </row>
    <row r="160" spans="3:10" x14ac:dyDescent="0.35">
      <c r="C160" t="s">
        <v>109</v>
      </c>
      <c r="D160">
        <v>28</v>
      </c>
      <c r="F160" t="s">
        <v>109</v>
      </c>
      <c r="G160" s="2">
        <v>35.214285714285715</v>
      </c>
      <c r="I160" t="s">
        <v>110</v>
      </c>
      <c r="J160" s="2">
        <v>5.125</v>
      </c>
    </row>
    <row r="161" spans="3:10" x14ac:dyDescent="0.35">
      <c r="C161" t="s">
        <v>110</v>
      </c>
      <c r="D161">
        <v>32</v>
      </c>
      <c r="F161" t="s">
        <v>110</v>
      </c>
      <c r="G161" s="2">
        <v>37.21875</v>
      </c>
      <c r="I161" t="s">
        <v>111</v>
      </c>
      <c r="J161" s="2">
        <v>5</v>
      </c>
    </row>
    <row r="162" spans="3:10" x14ac:dyDescent="0.35">
      <c r="C162" t="s">
        <v>111</v>
      </c>
      <c r="D162">
        <v>39</v>
      </c>
      <c r="F162" t="s">
        <v>111</v>
      </c>
      <c r="G162" s="2">
        <v>36.871794871794869</v>
      </c>
      <c r="I162" t="s">
        <v>112</v>
      </c>
      <c r="J162" s="2">
        <v>5.2222222222222223</v>
      </c>
    </row>
    <row r="163" spans="3:10" x14ac:dyDescent="0.35">
      <c r="C163" t="s">
        <v>112</v>
      </c>
      <c r="D163">
        <v>40</v>
      </c>
      <c r="F163" t="s">
        <v>112</v>
      </c>
      <c r="G163" s="2">
        <v>36.450000000000003</v>
      </c>
      <c r="I163" t="s">
        <v>113</v>
      </c>
      <c r="J163" s="2">
        <v>4.2222222222222223</v>
      </c>
    </row>
    <row r="164" spans="3:10" x14ac:dyDescent="0.35">
      <c r="C164" t="s">
        <v>113</v>
      </c>
      <c r="D164">
        <v>31</v>
      </c>
      <c r="F164" t="s">
        <v>113</v>
      </c>
      <c r="G164" s="2">
        <v>32.935483870967744</v>
      </c>
      <c r="I164" t="s">
        <v>114</v>
      </c>
      <c r="J164" s="2">
        <v>4.8571428571428568</v>
      </c>
    </row>
    <row r="165" spans="3:10" x14ac:dyDescent="0.35">
      <c r="C165" t="s">
        <v>114</v>
      </c>
      <c r="D165">
        <v>34</v>
      </c>
      <c r="F165" t="s">
        <v>114</v>
      </c>
      <c r="G165" s="2">
        <v>41.323529411764703</v>
      </c>
      <c r="I165" t="s">
        <v>115</v>
      </c>
      <c r="J165" s="2">
        <v>3.8888888888888888</v>
      </c>
    </row>
    <row r="166" spans="3:10" x14ac:dyDescent="0.35">
      <c r="C166" t="s">
        <v>115</v>
      </c>
      <c r="D166">
        <v>37</v>
      </c>
      <c r="F166" t="s">
        <v>115</v>
      </c>
      <c r="G166" s="2">
        <v>34.432432432432435</v>
      </c>
      <c r="I166" t="s">
        <v>116</v>
      </c>
      <c r="J166" s="2">
        <v>4</v>
      </c>
    </row>
    <row r="167" spans="3:10" x14ac:dyDescent="0.35">
      <c r="C167" t="s">
        <v>116</v>
      </c>
      <c r="D167">
        <v>30</v>
      </c>
      <c r="F167" t="s">
        <v>116</v>
      </c>
      <c r="G167" s="2">
        <v>36.966666666666669</v>
      </c>
      <c r="I167" t="s">
        <v>117</v>
      </c>
      <c r="J167" s="2">
        <v>5</v>
      </c>
    </row>
    <row r="168" spans="3:10" x14ac:dyDescent="0.35">
      <c r="C168" t="s">
        <v>117</v>
      </c>
      <c r="D168">
        <v>25</v>
      </c>
      <c r="F168" t="s">
        <v>117</v>
      </c>
      <c r="G168" s="2">
        <v>39.520000000000003</v>
      </c>
      <c r="I168" t="s">
        <v>118</v>
      </c>
      <c r="J168" s="2">
        <v>5.7777777777777777</v>
      </c>
    </row>
    <row r="169" spans="3:10" x14ac:dyDescent="0.35">
      <c r="C169" t="s">
        <v>118</v>
      </c>
      <c r="D169">
        <v>38</v>
      </c>
      <c r="F169" t="s">
        <v>118</v>
      </c>
      <c r="G169" s="2">
        <v>36.026315789473685</v>
      </c>
      <c r="I169" t="s">
        <v>119</v>
      </c>
      <c r="J169" s="2">
        <v>2.6</v>
      </c>
    </row>
    <row r="170" spans="3:10" x14ac:dyDescent="0.35">
      <c r="C170" t="s">
        <v>119</v>
      </c>
      <c r="D170">
        <v>27</v>
      </c>
      <c r="F170" t="s">
        <v>119</v>
      </c>
      <c r="G170" s="2">
        <v>32.370370370370374</v>
      </c>
      <c r="I170" t="s">
        <v>120</v>
      </c>
      <c r="J170" s="2">
        <v>6.5</v>
      </c>
    </row>
    <row r="171" spans="3:10" x14ac:dyDescent="0.35">
      <c r="C171" t="s">
        <v>120</v>
      </c>
      <c r="D171">
        <v>37</v>
      </c>
      <c r="F171" t="s">
        <v>120</v>
      </c>
      <c r="G171" s="2">
        <v>33.243243243243242</v>
      </c>
      <c r="I171" t="s">
        <v>121</v>
      </c>
      <c r="J171" s="2">
        <v>3.8181818181818183</v>
      </c>
    </row>
    <row r="172" spans="3:10" x14ac:dyDescent="0.35">
      <c r="C172" t="s">
        <v>121</v>
      </c>
      <c r="D172">
        <v>33</v>
      </c>
      <c r="F172" t="s">
        <v>121</v>
      </c>
      <c r="G172" s="2">
        <v>33.575757575757578</v>
      </c>
      <c r="I172" t="s">
        <v>122</v>
      </c>
      <c r="J172" s="2">
        <v>4.4000000000000004</v>
      </c>
    </row>
    <row r="173" spans="3:10" x14ac:dyDescent="0.35">
      <c r="C173" t="s">
        <v>122</v>
      </c>
      <c r="D173">
        <v>23</v>
      </c>
      <c r="F173" t="s">
        <v>122</v>
      </c>
      <c r="G173" s="2">
        <v>31.130434782608695</v>
      </c>
      <c r="I173" t="s">
        <v>123</v>
      </c>
      <c r="J173" s="2">
        <v>4.5</v>
      </c>
    </row>
    <row r="174" spans="3:10" x14ac:dyDescent="0.35">
      <c r="C174" t="s">
        <v>123</v>
      </c>
      <c r="D174">
        <v>27</v>
      </c>
      <c r="F174" t="s">
        <v>123</v>
      </c>
      <c r="G174" s="2">
        <v>36.888888888888886</v>
      </c>
      <c r="I174" t="s">
        <v>124</v>
      </c>
      <c r="J174" s="2">
        <v>4.625</v>
      </c>
    </row>
    <row r="175" spans="3:10" x14ac:dyDescent="0.35">
      <c r="C175" t="s">
        <v>124</v>
      </c>
      <c r="D175">
        <v>29</v>
      </c>
      <c r="F175" t="s">
        <v>124</v>
      </c>
      <c r="G175" s="2">
        <v>29.862068965517242</v>
      </c>
      <c r="I175" t="s">
        <v>125</v>
      </c>
      <c r="J175" s="2">
        <v>4.5</v>
      </c>
    </row>
    <row r="176" spans="3:10" x14ac:dyDescent="0.35">
      <c r="C176" t="s">
        <v>125</v>
      </c>
      <c r="D176">
        <v>38</v>
      </c>
      <c r="F176" t="s">
        <v>125</v>
      </c>
      <c r="G176" s="2">
        <v>36.526315789473685</v>
      </c>
      <c r="I176" t="s">
        <v>126</v>
      </c>
      <c r="J176" s="2">
        <v>5.833333333333333</v>
      </c>
    </row>
    <row r="177" spans="3:10" x14ac:dyDescent="0.35">
      <c r="C177" t="s">
        <v>126</v>
      </c>
      <c r="D177">
        <v>28</v>
      </c>
      <c r="F177" t="s">
        <v>126</v>
      </c>
      <c r="G177" s="2">
        <v>34.571428571428569</v>
      </c>
      <c r="I177" t="s">
        <v>127</v>
      </c>
      <c r="J177" s="2">
        <v>4.666666666666667</v>
      </c>
    </row>
    <row r="178" spans="3:10" x14ac:dyDescent="0.35">
      <c r="C178" t="s">
        <v>127</v>
      </c>
      <c r="D178">
        <v>36</v>
      </c>
      <c r="F178" t="s">
        <v>127</v>
      </c>
      <c r="G178" s="2">
        <v>38.5</v>
      </c>
      <c r="I178" t="s">
        <v>128</v>
      </c>
      <c r="J178" s="2">
        <v>4.666666666666667</v>
      </c>
    </row>
    <row r="179" spans="3:10" x14ac:dyDescent="0.35">
      <c r="C179" t="s">
        <v>128</v>
      </c>
      <c r="D179">
        <v>31</v>
      </c>
      <c r="F179" t="s">
        <v>128</v>
      </c>
      <c r="G179" s="2">
        <v>37.12903225806452</v>
      </c>
      <c r="I179" t="s">
        <v>129</v>
      </c>
      <c r="J179" s="2">
        <v>6.75</v>
      </c>
    </row>
    <row r="180" spans="3:10" x14ac:dyDescent="0.35">
      <c r="C180" t="s">
        <v>129</v>
      </c>
      <c r="D180">
        <v>34</v>
      </c>
      <c r="F180" t="s">
        <v>129</v>
      </c>
      <c r="G180" s="2">
        <v>33.852941176470587</v>
      </c>
      <c r="I180" t="s">
        <v>130</v>
      </c>
      <c r="J180" s="2">
        <v>5.7</v>
      </c>
    </row>
    <row r="181" spans="3:10" x14ac:dyDescent="0.35">
      <c r="C181" t="s">
        <v>130</v>
      </c>
      <c r="D181">
        <v>39</v>
      </c>
      <c r="F181" t="s">
        <v>130</v>
      </c>
      <c r="G181" s="2">
        <v>37.230769230769234</v>
      </c>
      <c r="I181" t="s">
        <v>131</v>
      </c>
      <c r="J181" s="2">
        <v>5.5</v>
      </c>
    </row>
    <row r="182" spans="3:10" x14ac:dyDescent="0.35">
      <c r="C182" t="s">
        <v>131</v>
      </c>
      <c r="D182">
        <v>40</v>
      </c>
      <c r="F182" t="s">
        <v>131</v>
      </c>
      <c r="G182" s="2">
        <v>36.075000000000003</v>
      </c>
      <c r="I182" t="s">
        <v>132</v>
      </c>
      <c r="J182" s="2">
        <v>6.2222222222222223</v>
      </c>
    </row>
    <row r="183" spans="3:10" x14ac:dyDescent="0.35">
      <c r="C183" t="s">
        <v>132</v>
      </c>
      <c r="D183">
        <v>31</v>
      </c>
      <c r="F183" t="s">
        <v>132</v>
      </c>
      <c r="G183" s="2">
        <v>34.354838709677416</v>
      </c>
      <c r="I183" t="s">
        <v>133</v>
      </c>
      <c r="J183" s="2">
        <v>5.833333333333333</v>
      </c>
    </row>
    <row r="184" spans="3:10" x14ac:dyDescent="0.35">
      <c r="C184" t="s">
        <v>133</v>
      </c>
      <c r="D184">
        <v>28</v>
      </c>
      <c r="F184" t="s">
        <v>133</v>
      </c>
      <c r="G184" s="2">
        <v>39.571428571428569</v>
      </c>
      <c r="I184" t="s">
        <v>134</v>
      </c>
      <c r="J184" s="2">
        <v>3.7</v>
      </c>
    </row>
    <row r="185" spans="3:10" x14ac:dyDescent="0.35">
      <c r="C185" t="s">
        <v>134</v>
      </c>
      <c r="D185">
        <v>32</v>
      </c>
      <c r="F185" t="s">
        <v>134</v>
      </c>
      <c r="G185" s="2">
        <v>37.53125</v>
      </c>
      <c r="I185" t="s">
        <v>135</v>
      </c>
      <c r="J185" s="2">
        <v>5.8</v>
      </c>
    </row>
    <row r="186" spans="3:10" x14ac:dyDescent="0.35">
      <c r="C186" t="s">
        <v>135</v>
      </c>
      <c r="D186">
        <v>28</v>
      </c>
      <c r="F186" t="s">
        <v>135</v>
      </c>
      <c r="G186" s="2">
        <v>31.357142857142858</v>
      </c>
      <c r="I186" t="s">
        <v>136</v>
      </c>
      <c r="J186" s="2">
        <v>4</v>
      </c>
    </row>
    <row r="187" spans="3:10" x14ac:dyDescent="0.35">
      <c r="C187" t="s">
        <v>136</v>
      </c>
      <c r="D187">
        <v>28</v>
      </c>
      <c r="F187" t="s">
        <v>136</v>
      </c>
      <c r="G187" s="2">
        <v>35.285714285714285</v>
      </c>
      <c r="I187" t="s">
        <v>137</v>
      </c>
      <c r="J187" s="2">
        <v>2</v>
      </c>
    </row>
    <row r="188" spans="3:10" x14ac:dyDescent="0.35">
      <c r="C188" t="s">
        <v>137</v>
      </c>
      <c r="D188">
        <v>25</v>
      </c>
      <c r="F188" t="s">
        <v>137</v>
      </c>
      <c r="G188" s="2">
        <v>34</v>
      </c>
      <c r="I188" t="s">
        <v>138</v>
      </c>
      <c r="J188" s="2">
        <v>6</v>
      </c>
    </row>
    <row r="189" spans="3:10" x14ac:dyDescent="0.35">
      <c r="C189" t="s">
        <v>138</v>
      </c>
      <c r="D189">
        <v>23</v>
      </c>
      <c r="F189" t="s">
        <v>138</v>
      </c>
      <c r="G189" s="2">
        <v>28.391304347826086</v>
      </c>
      <c r="I189" t="s">
        <v>139</v>
      </c>
      <c r="J189" s="2">
        <v>5</v>
      </c>
    </row>
    <row r="190" spans="3:10" x14ac:dyDescent="0.35">
      <c r="C190" t="s">
        <v>139</v>
      </c>
      <c r="D190">
        <v>22</v>
      </c>
      <c r="F190" t="s">
        <v>139</v>
      </c>
      <c r="G190" s="2">
        <v>36.545454545454547</v>
      </c>
      <c r="I190" t="s">
        <v>140</v>
      </c>
      <c r="J190" s="2">
        <v>5.1111111111111107</v>
      </c>
    </row>
    <row r="191" spans="3:10" x14ac:dyDescent="0.35">
      <c r="C191" t="s">
        <v>140</v>
      </c>
      <c r="D191">
        <v>33</v>
      </c>
      <c r="F191" t="s">
        <v>140</v>
      </c>
      <c r="G191" s="2">
        <v>33.939393939393938</v>
      </c>
      <c r="I191" t="s">
        <v>141</v>
      </c>
      <c r="J191" s="2">
        <v>3.8571428571428572</v>
      </c>
    </row>
    <row r="192" spans="3:10" x14ac:dyDescent="0.35">
      <c r="C192" t="s">
        <v>141</v>
      </c>
      <c r="D192">
        <v>31</v>
      </c>
      <c r="F192" t="s">
        <v>141</v>
      </c>
      <c r="G192" s="2">
        <v>38.516129032258064</v>
      </c>
      <c r="I192" t="s">
        <v>142</v>
      </c>
      <c r="J192" s="2">
        <v>6.5714285714285712</v>
      </c>
    </row>
    <row r="193" spans="3:10" x14ac:dyDescent="0.35">
      <c r="C193" t="s">
        <v>142</v>
      </c>
      <c r="D193">
        <v>35</v>
      </c>
      <c r="F193" t="s">
        <v>142</v>
      </c>
      <c r="G193" s="2">
        <v>34.74285714285714</v>
      </c>
      <c r="I193" t="s">
        <v>143</v>
      </c>
      <c r="J193" s="2">
        <v>5.2857142857142856</v>
      </c>
    </row>
    <row r="194" spans="3:10" x14ac:dyDescent="0.35">
      <c r="C194" t="s">
        <v>143</v>
      </c>
      <c r="D194">
        <v>30</v>
      </c>
      <c r="F194" t="s">
        <v>143</v>
      </c>
      <c r="G194" s="2">
        <v>34.5</v>
      </c>
      <c r="I194" t="s">
        <v>144</v>
      </c>
      <c r="J194" s="2">
        <v>5.5</v>
      </c>
    </row>
    <row r="195" spans="3:10" x14ac:dyDescent="0.35">
      <c r="C195" t="s">
        <v>144</v>
      </c>
      <c r="D195">
        <v>32</v>
      </c>
      <c r="F195" t="s">
        <v>144</v>
      </c>
      <c r="G195" s="2">
        <v>31.65625</v>
      </c>
      <c r="I195" t="s">
        <v>145</v>
      </c>
      <c r="J195" s="2">
        <v>4.8181818181818183</v>
      </c>
    </row>
    <row r="196" spans="3:10" x14ac:dyDescent="0.35">
      <c r="C196" t="s">
        <v>145</v>
      </c>
      <c r="D196">
        <v>39</v>
      </c>
      <c r="F196" t="s">
        <v>145</v>
      </c>
      <c r="G196" s="2">
        <v>37.384615384615387</v>
      </c>
      <c r="I196" t="s">
        <v>146</v>
      </c>
      <c r="J196" s="2">
        <v>5</v>
      </c>
    </row>
    <row r="197" spans="3:10" x14ac:dyDescent="0.35">
      <c r="C197" t="s">
        <v>146</v>
      </c>
      <c r="D197">
        <v>39</v>
      </c>
      <c r="F197" t="s">
        <v>146</v>
      </c>
      <c r="G197" s="2">
        <v>36.205128205128204</v>
      </c>
      <c r="I197" t="s">
        <v>147</v>
      </c>
      <c r="J197" s="2">
        <v>3.2222222222222223</v>
      </c>
    </row>
    <row r="198" spans="3:10" x14ac:dyDescent="0.35">
      <c r="C198" t="s">
        <v>147</v>
      </c>
      <c r="D198">
        <v>30</v>
      </c>
      <c r="F198" t="s">
        <v>147</v>
      </c>
      <c r="G198" s="2">
        <v>35.6</v>
      </c>
      <c r="I198" t="s">
        <v>148</v>
      </c>
      <c r="J198" s="2">
        <v>6.333333333333333</v>
      </c>
    </row>
    <row r="199" spans="3:10" x14ac:dyDescent="0.35">
      <c r="C199" t="s">
        <v>148</v>
      </c>
      <c r="D199">
        <v>29</v>
      </c>
      <c r="F199" t="s">
        <v>148</v>
      </c>
      <c r="G199" s="2">
        <v>31.068965517241381</v>
      </c>
      <c r="I199" t="s">
        <v>149</v>
      </c>
      <c r="J199" s="2">
        <v>3.8</v>
      </c>
    </row>
    <row r="200" spans="3:10" x14ac:dyDescent="0.35">
      <c r="C200" t="s">
        <v>149</v>
      </c>
      <c r="D200">
        <v>34</v>
      </c>
      <c r="F200" t="s">
        <v>149</v>
      </c>
      <c r="G200" s="2">
        <v>33</v>
      </c>
      <c r="I200" t="s">
        <v>150</v>
      </c>
      <c r="J200" s="2">
        <v>3.1111111111111112</v>
      </c>
    </row>
    <row r="201" spans="3:10" x14ac:dyDescent="0.35">
      <c r="C201" t="s">
        <v>150</v>
      </c>
      <c r="D201">
        <v>30</v>
      </c>
      <c r="F201" t="s">
        <v>150</v>
      </c>
      <c r="G201" s="2">
        <v>36.233333333333334</v>
      </c>
      <c r="I201" t="s">
        <v>151</v>
      </c>
      <c r="J201" s="2">
        <v>2.8333333333333335</v>
      </c>
    </row>
    <row r="202" spans="3:10" x14ac:dyDescent="0.35">
      <c r="C202" t="s">
        <v>151</v>
      </c>
      <c r="D202">
        <v>28</v>
      </c>
      <c r="F202" t="s">
        <v>151</v>
      </c>
      <c r="G202" s="2">
        <v>37.142857142857146</v>
      </c>
      <c r="I202" t="s">
        <v>152</v>
      </c>
      <c r="J202" s="2">
        <v>6.625</v>
      </c>
    </row>
    <row r="203" spans="3:10" x14ac:dyDescent="0.35">
      <c r="C203" t="s">
        <v>152</v>
      </c>
      <c r="D203">
        <v>33</v>
      </c>
      <c r="F203" t="s">
        <v>152</v>
      </c>
      <c r="G203" s="2">
        <v>34.666666666666664</v>
      </c>
      <c r="I203" t="s">
        <v>153</v>
      </c>
      <c r="J203" s="2">
        <v>3.5</v>
      </c>
    </row>
    <row r="204" spans="3:10" x14ac:dyDescent="0.35">
      <c r="C204" t="s">
        <v>153</v>
      </c>
      <c r="D204">
        <v>30</v>
      </c>
      <c r="F204" t="s">
        <v>153</v>
      </c>
      <c r="G204" s="2">
        <v>36.033333333333331</v>
      </c>
      <c r="I204" t="s">
        <v>154</v>
      </c>
      <c r="J204" s="2">
        <v>5.166666666666667</v>
      </c>
    </row>
    <row r="205" spans="3:10" x14ac:dyDescent="0.35">
      <c r="C205" t="s">
        <v>154</v>
      </c>
      <c r="D205">
        <v>31</v>
      </c>
      <c r="F205" t="s">
        <v>154</v>
      </c>
      <c r="G205" s="2">
        <v>33.838709677419352</v>
      </c>
      <c r="I205" t="s">
        <v>155</v>
      </c>
      <c r="J205" s="2">
        <v>5.333333333333333</v>
      </c>
    </row>
    <row r="206" spans="3:10" x14ac:dyDescent="0.35">
      <c r="C206" t="s">
        <v>155</v>
      </c>
      <c r="D206">
        <v>27</v>
      </c>
      <c r="F206" t="s">
        <v>155</v>
      </c>
      <c r="G206" s="2">
        <v>34.592592592592595</v>
      </c>
      <c r="I206" t="s">
        <v>156</v>
      </c>
      <c r="J206" s="2">
        <v>4.875</v>
      </c>
    </row>
    <row r="207" spans="3:10" x14ac:dyDescent="0.35">
      <c r="C207" t="s">
        <v>156</v>
      </c>
      <c r="D207">
        <v>32</v>
      </c>
      <c r="F207" t="s">
        <v>156</v>
      </c>
      <c r="G207" s="2">
        <v>34.4375</v>
      </c>
      <c r="I207" t="s">
        <v>157</v>
      </c>
      <c r="J207" s="2">
        <v>4.5</v>
      </c>
    </row>
    <row r="208" spans="3:10" x14ac:dyDescent="0.35">
      <c r="C208" t="s">
        <v>157</v>
      </c>
      <c r="D208">
        <v>29</v>
      </c>
      <c r="F208" t="s">
        <v>157</v>
      </c>
      <c r="G208" s="2">
        <v>36.172413793103445</v>
      </c>
      <c r="I208" t="s">
        <v>158</v>
      </c>
      <c r="J208" s="2">
        <v>4.625</v>
      </c>
    </row>
    <row r="209" spans="3:10" x14ac:dyDescent="0.35">
      <c r="C209" t="s">
        <v>158</v>
      </c>
      <c r="D209">
        <v>29</v>
      </c>
      <c r="F209" t="s">
        <v>158</v>
      </c>
      <c r="G209" s="2">
        <v>34.758620689655174</v>
      </c>
      <c r="I209" t="s">
        <v>159</v>
      </c>
      <c r="J209" s="2">
        <v>5</v>
      </c>
    </row>
    <row r="210" spans="3:10" x14ac:dyDescent="0.35">
      <c r="C210" t="s">
        <v>159</v>
      </c>
      <c r="D210">
        <v>29</v>
      </c>
      <c r="F210" t="s">
        <v>159</v>
      </c>
      <c r="G210" s="2">
        <v>37.241379310344826</v>
      </c>
      <c r="I210" t="s">
        <v>160</v>
      </c>
      <c r="J210" s="2">
        <v>6.8181818181818183</v>
      </c>
    </row>
    <row r="211" spans="3:10" x14ac:dyDescent="0.35">
      <c r="C211" t="s">
        <v>160</v>
      </c>
      <c r="D211">
        <v>30</v>
      </c>
      <c r="F211" t="s">
        <v>160</v>
      </c>
      <c r="G211" s="2">
        <v>33.9</v>
      </c>
      <c r="I211" t="s">
        <v>161</v>
      </c>
      <c r="J211" s="2">
        <v>6.375</v>
      </c>
    </row>
    <row r="212" spans="3:10" x14ac:dyDescent="0.35">
      <c r="C212" t="s">
        <v>161</v>
      </c>
      <c r="D212">
        <v>32</v>
      </c>
      <c r="F212" t="s">
        <v>161</v>
      </c>
      <c r="G212" s="2">
        <v>35.4375</v>
      </c>
      <c r="I212" t="s">
        <v>162</v>
      </c>
      <c r="J212" s="2">
        <v>4.615384615384615</v>
      </c>
    </row>
    <row r="213" spans="3:10" x14ac:dyDescent="0.35">
      <c r="C213" t="s">
        <v>162</v>
      </c>
      <c r="D213">
        <v>39</v>
      </c>
      <c r="F213" t="s">
        <v>162</v>
      </c>
      <c r="G213" s="2">
        <v>36.820512820512818</v>
      </c>
      <c r="I213" t="s">
        <v>163</v>
      </c>
      <c r="J213" s="2">
        <v>5.5454545454545459</v>
      </c>
    </row>
    <row r="214" spans="3:10" x14ac:dyDescent="0.35">
      <c r="C214" t="s">
        <v>163</v>
      </c>
      <c r="D214">
        <v>32</v>
      </c>
      <c r="F214" t="s">
        <v>163</v>
      </c>
      <c r="G214" s="2">
        <v>31.3125</v>
      </c>
      <c r="I214" t="s">
        <v>164</v>
      </c>
      <c r="J214" s="2">
        <v>6.9090909090909092</v>
      </c>
    </row>
    <row r="215" spans="3:10" x14ac:dyDescent="0.35">
      <c r="C215" t="s">
        <v>164</v>
      </c>
      <c r="D215">
        <v>31</v>
      </c>
      <c r="F215" t="s">
        <v>164</v>
      </c>
      <c r="G215" s="2">
        <v>39.064516129032256</v>
      </c>
      <c r="I215" t="s">
        <v>7</v>
      </c>
      <c r="J215" s="2">
        <v>5.2</v>
      </c>
    </row>
    <row r="216" spans="3:10" x14ac:dyDescent="0.35">
      <c r="C216" t="s">
        <v>7</v>
      </c>
      <c r="D216">
        <v>42</v>
      </c>
      <c r="F216" t="s">
        <v>7</v>
      </c>
      <c r="G216" s="2">
        <v>35.428571428571431</v>
      </c>
      <c r="I216" t="s">
        <v>8</v>
      </c>
      <c r="J216" s="2">
        <v>4.4444444444444446</v>
      </c>
    </row>
    <row r="217" spans="3:10" x14ac:dyDescent="0.35">
      <c r="C217" t="s">
        <v>8</v>
      </c>
      <c r="D217">
        <v>34</v>
      </c>
      <c r="F217" t="s">
        <v>8</v>
      </c>
      <c r="G217" s="2">
        <v>34.794117647058826</v>
      </c>
      <c r="I217" t="s">
        <v>9</v>
      </c>
      <c r="J217" s="2">
        <v>6.2727272727272725</v>
      </c>
    </row>
    <row r="218" spans="3:10" x14ac:dyDescent="0.35">
      <c r="C218" t="s">
        <v>9</v>
      </c>
      <c r="D218">
        <v>31</v>
      </c>
      <c r="F218" t="s">
        <v>9</v>
      </c>
      <c r="G218" s="2">
        <v>37.032258064516128</v>
      </c>
      <c r="I218" t="s">
        <v>10</v>
      </c>
      <c r="J218" s="2">
        <v>4.5999999999999996</v>
      </c>
    </row>
    <row r="219" spans="3:10" x14ac:dyDescent="0.35">
      <c r="C219" t="s">
        <v>10</v>
      </c>
      <c r="D219">
        <v>29</v>
      </c>
      <c r="F219" t="s">
        <v>10</v>
      </c>
      <c r="G219" s="2">
        <v>39.862068965517238</v>
      </c>
      <c r="I219" t="s">
        <v>11</v>
      </c>
      <c r="J219" s="2">
        <v>5.5</v>
      </c>
    </row>
    <row r="220" spans="3:10" x14ac:dyDescent="0.35">
      <c r="C220" t="s">
        <v>11</v>
      </c>
      <c r="D220">
        <v>42</v>
      </c>
      <c r="F220" t="s">
        <v>11</v>
      </c>
      <c r="G220" s="2">
        <v>36.166666666666664</v>
      </c>
      <c r="I220" t="s">
        <v>12</v>
      </c>
      <c r="J220" s="2">
        <v>5.4285714285714288</v>
      </c>
    </row>
    <row r="221" spans="3:10" x14ac:dyDescent="0.35">
      <c r="C221" t="s">
        <v>12</v>
      </c>
      <c r="D221">
        <v>22</v>
      </c>
      <c r="F221" t="s">
        <v>12</v>
      </c>
      <c r="G221" s="2">
        <v>30.40909090909091</v>
      </c>
      <c r="I221" t="s">
        <v>13</v>
      </c>
      <c r="J221" s="2">
        <v>9.5</v>
      </c>
    </row>
    <row r="222" spans="3:10" x14ac:dyDescent="0.35">
      <c r="C222" t="s">
        <v>13</v>
      </c>
      <c r="D222">
        <v>28</v>
      </c>
      <c r="F222" t="s">
        <v>13</v>
      </c>
      <c r="G222" s="2">
        <v>40</v>
      </c>
      <c r="I222" t="s">
        <v>14</v>
      </c>
      <c r="J222" s="2">
        <v>2.1666666666666665</v>
      </c>
    </row>
    <row r="223" spans="3:10" x14ac:dyDescent="0.35">
      <c r="C223" t="s">
        <v>14</v>
      </c>
      <c r="D223">
        <v>31</v>
      </c>
      <c r="F223" t="s">
        <v>14</v>
      </c>
      <c r="G223" s="2">
        <v>31.677419354838708</v>
      </c>
      <c r="I223" t="s">
        <v>15</v>
      </c>
      <c r="J223" s="2">
        <v>5.333333333333333</v>
      </c>
    </row>
    <row r="224" spans="3:10" x14ac:dyDescent="0.35">
      <c r="C224" t="s">
        <v>15</v>
      </c>
      <c r="D224">
        <v>24</v>
      </c>
      <c r="F224" t="s">
        <v>15</v>
      </c>
      <c r="G224" s="2">
        <v>29.791666666666668</v>
      </c>
      <c r="I224" t="s">
        <v>16</v>
      </c>
      <c r="J224" s="2">
        <v>4.1428571428571432</v>
      </c>
    </row>
    <row r="225" spans="3:10" x14ac:dyDescent="0.35">
      <c r="C225" t="s">
        <v>16</v>
      </c>
      <c r="D225">
        <v>48</v>
      </c>
      <c r="F225" t="s">
        <v>16</v>
      </c>
      <c r="G225" s="2">
        <v>36.833333333333336</v>
      </c>
      <c r="I225" t="s">
        <v>17</v>
      </c>
      <c r="J225" s="2">
        <v>2.75</v>
      </c>
    </row>
    <row r="226" spans="3:10" x14ac:dyDescent="0.35">
      <c r="C226" t="s">
        <v>17</v>
      </c>
      <c r="D226">
        <v>32</v>
      </c>
      <c r="F226" t="s">
        <v>17</v>
      </c>
      <c r="G226" s="2">
        <v>33.96875</v>
      </c>
      <c r="I226" t="s">
        <v>18</v>
      </c>
      <c r="J226" s="2">
        <v>4.4000000000000004</v>
      </c>
    </row>
    <row r="227" spans="3:10" x14ac:dyDescent="0.35">
      <c r="C227" t="s">
        <v>18</v>
      </c>
      <c r="D227">
        <v>37</v>
      </c>
      <c r="F227" t="s">
        <v>18</v>
      </c>
      <c r="G227" s="2">
        <v>35.864864864864863</v>
      </c>
      <c r="I227" t="s">
        <v>19</v>
      </c>
      <c r="J227" s="2">
        <v>5.5</v>
      </c>
    </row>
    <row r="228" spans="3:10" x14ac:dyDescent="0.35">
      <c r="C228" t="s">
        <v>19</v>
      </c>
      <c r="D228">
        <v>30</v>
      </c>
      <c r="F228" t="s">
        <v>19</v>
      </c>
      <c r="G228" s="2">
        <v>37.833333333333336</v>
      </c>
      <c r="I228" t="s">
        <v>20</v>
      </c>
      <c r="J228" s="2">
        <v>6.4</v>
      </c>
    </row>
    <row r="229" spans="3:10" x14ac:dyDescent="0.35">
      <c r="C229" t="s">
        <v>20</v>
      </c>
      <c r="D229">
        <v>27</v>
      </c>
      <c r="F229" t="s">
        <v>20</v>
      </c>
      <c r="G229" s="2">
        <v>36.296296296296298</v>
      </c>
      <c r="I229" t="s">
        <v>21</v>
      </c>
      <c r="J229" s="2">
        <v>5.25</v>
      </c>
    </row>
    <row r="230" spans="3:10" x14ac:dyDescent="0.35">
      <c r="C230" t="s">
        <v>21</v>
      </c>
      <c r="D230">
        <v>32</v>
      </c>
      <c r="F230" t="s">
        <v>21</v>
      </c>
      <c r="G230" s="2">
        <v>36.375</v>
      </c>
      <c r="I230" t="s">
        <v>22</v>
      </c>
      <c r="J230" s="2">
        <v>6</v>
      </c>
    </row>
    <row r="231" spans="3:10" x14ac:dyDescent="0.35">
      <c r="C231" t="s">
        <v>22</v>
      </c>
      <c r="D231">
        <v>33</v>
      </c>
      <c r="F231" t="s">
        <v>22</v>
      </c>
      <c r="G231" s="2">
        <v>36</v>
      </c>
      <c r="I231" t="s">
        <v>23</v>
      </c>
      <c r="J231" s="2">
        <v>5.1428571428571432</v>
      </c>
    </row>
    <row r="232" spans="3:10" x14ac:dyDescent="0.35">
      <c r="C232" t="s">
        <v>23</v>
      </c>
      <c r="D232">
        <v>37</v>
      </c>
      <c r="F232" t="s">
        <v>23</v>
      </c>
      <c r="G232" s="2">
        <v>37.189189189189186</v>
      </c>
      <c r="I232" t="s">
        <v>24</v>
      </c>
      <c r="J232" s="2">
        <v>5.25</v>
      </c>
    </row>
    <row r="233" spans="3:10" x14ac:dyDescent="0.35">
      <c r="C233" t="s">
        <v>24</v>
      </c>
      <c r="D233">
        <v>33</v>
      </c>
      <c r="F233" t="s">
        <v>24</v>
      </c>
      <c r="G233" s="2">
        <v>34.666666666666664</v>
      </c>
      <c r="I233" t="s">
        <v>25</v>
      </c>
      <c r="J233" s="2">
        <v>6</v>
      </c>
    </row>
    <row r="234" spans="3:10" x14ac:dyDescent="0.35">
      <c r="C234" t="s">
        <v>25</v>
      </c>
      <c r="D234">
        <v>35</v>
      </c>
      <c r="F234" t="s">
        <v>25</v>
      </c>
      <c r="G234" s="2">
        <v>33</v>
      </c>
      <c r="I234" t="s">
        <v>26</v>
      </c>
      <c r="J234" s="2">
        <v>5.4375</v>
      </c>
    </row>
    <row r="235" spans="3:10" x14ac:dyDescent="0.35">
      <c r="C235" t="s">
        <v>26</v>
      </c>
      <c r="D235">
        <v>45</v>
      </c>
      <c r="F235" t="s">
        <v>26</v>
      </c>
      <c r="G235" s="2">
        <v>39.777777777777779</v>
      </c>
      <c r="I235" t="s">
        <v>27</v>
      </c>
      <c r="J235" s="2">
        <v>4.5</v>
      </c>
    </row>
    <row r="236" spans="3:10" x14ac:dyDescent="0.35">
      <c r="C236" t="s">
        <v>27</v>
      </c>
      <c r="D236">
        <v>26</v>
      </c>
      <c r="F236" t="s">
        <v>27</v>
      </c>
      <c r="G236" s="2">
        <v>33.57692307692308</v>
      </c>
      <c r="I236" t="s">
        <v>28</v>
      </c>
      <c r="J236" s="2">
        <v>4.7142857142857144</v>
      </c>
    </row>
    <row r="237" spans="3:10" x14ac:dyDescent="0.35">
      <c r="C237" t="s">
        <v>28</v>
      </c>
      <c r="D237">
        <v>24</v>
      </c>
      <c r="F237" t="s">
        <v>28</v>
      </c>
      <c r="G237" s="2">
        <v>37.208333333333336</v>
      </c>
      <c r="I237" t="s">
        <v>29</v>
      </c>
      <c r="J237" s="2">
        <v>7.375</v>
      </c>
    </row>
    <row r="238" spans="3:10" x14ac:dyDescent="0.35">
      <c r="C238" t="s">
        <v>29</v>
      </c>
      <c r="D238">
        <v>34</v>
      </c>
      <c r="F238" t="s">
        <v>29</v>
      </c>
      <c r="G238" s="2">
        <v>36.882352941176471</v>
      </c>
      <c r="I238" t="s">
        <v>30</v>
      </c>
      <c r="J238" s="2">
        <v>4.1428571428571432</v>
      </c>
    </row>
    <row r="239" spans="3:10" x14ac:dyDescent="0.35">
      <c r="C239" t="s">
        <v>30</v>
      </c>
      <c r="D239">
        <v>31</v>
      </c>
      <c r="F239" t="s">
        <v>30</v>
      </c>
      <c r="G239" s="2">
        <v>37.612903225806448</v>
      </c>
      <c r="I239" t="s">
        <v>31</v>
      </c>
      <c r="J239" s="2">
        <v>5.2222222222222223</v>
      </c>
    </row>
    <row r="240" spans="3:10" x14ac:dyDescent="0.35">
      <c r="C240" t="s">
        <v>31</v>
      </c>
      <c r="D240">
        <v>42</v>
      </c>
      <c r="F240" t="s">
        <v>31</v>
      </c>
      <c r="G240" s="2">
        <v>33.357142857142854</v>
      </c>
      <c r="I240" t="s">
        <v>32</v>
      </c>
      <c r="J240" s="2">
        <v>3.375</v>
      </c>
    </row>
    <row r="241" spans="3:10" x14ac:dyDescent="0.35">
      <c r="C241" t="s">
        <v>32</v>
      </c>
      <c r="D241">
        <v>31</v>
      </c>
      <c r="F241" t="s">
        <v>32</v>
      </c>
      <c r="G241" s="2">
        <v>33.967741935483872</v>
      </c>
      <c r="I241" t="s">
        <v>33</v>
      </c>
      <c r="J241" s="2">
        <v>6</v>
      </c>
    </row>
    <row r="242" spans="3:10" x14ac:dyDescent="0.35">
      <c r="C242" t="s">
        <v>33</v>
      </c>
      <c r="D242">
        <v>34</v>
      </c>
      <c r="F242" t="s">
        <v>33</v>
      </c>
      <c r="G242" s="2">
        <v>36.5</v>
      </c>
      <c r="I242" t="s">
        <v>34</v>
      </c>
      <c r="J242" s="2">
        <v>5.6</v>
      </c>
    </row>
    <row r="243" spans="3:10" x14ac:dyDescent="0.35">
      <c r="C243" t="s">
        <v>34</v>
      </c>
      <c r="D243">
        <v>38</v>
      </c>
      <c r="F243" t="s">
        <v>34</v>
      </c>
      <c r="G243" s="2">
        <v>35.55263157894737</v>
      </c>
      <c r="I243" t="s">
        <v>35</v>
      </c>
      <c r="J243" s="2">
        <v>3.75</v>
      </c>
    </row>
    <row r="244" spans="3:10" x14ac:dyDescent="0.35">
      <c r="C244" t="s">
        <v>35</v>
      </c>
      <c r="D244">
        <v>39</v>
      </c>
      <c r="F244" t="s">
        <v>35</v>
      </c>
      <c r="G244" s="2">
        <v>33.051282051282051</v>
      </c>
      <c r="I244" t="s">
        <v>36</v>
      </c>
      <c r="J244" s="2">
        <v>4.8571428571428568</v>
      </c>
    </row>
    <row r="245" spans="3:10" x14ac:dyDescent="0.35">
      <c r="C245" t="s">
        <v>36</v>
      </c>
      <c r="D245">
        <v>25</v>
      </c>
      <c r="F245" t="s">
        <v>36</v>
      </c>
      <c r="G245" s="2">
        <v>36.68</v>
      </c>
      <c r="I245" t="s">
        <v>37</v>
      </c>
      <c r="J245" s="2">
        <v>5.5</v>
      </c>
    </row>
    <row r="246" spans="3:10" x14ac:dyDescent="0.35">
      <c r="C246" t="s">
        <v>37</v>
      </c>
      <c r="D246">
        <v>28</v>
      </c>
      <c r="F246" t="s">
        <v>37</v>
      </c>
      <c r="G246" s="2">
        <v>37.714285714285715</v>
      </c>
      <c r="I246" t="s">
        <v>165</v>
      </c>
      <c r="J246" s="2">
        <v>4</v>
      </c>
    </row>
    <row r="247" spans="3:10" x14ac:dyDescent="0.35">
      <c r="C247" t="s">
        <v>165</v>
      </c>
      <c r="D247">
        <v>35</v>
      </c>
      <c r="F247" t="s">
        <v>165</v>
      </c>
      <c r="G247" s="2">
        <v>36.057142857142857</v>
      </c>
      <c r="I247" t="s">
        <v>166</v>
      </c>
      <c r="J247" s="2">
        <v>4.625</v>
      </c>
    </row>
    <row r="248" spans="3:10" x14ac:dyDescent="0.35">
      <c r="C248" t="s">
        <v>166</v>
      </c>
      <c r="D248">
        <v>35</v>
      </c>
      <c r="F248" t="s">
        <v>166</v>
      </c>
      <c r="G248" s="2">
        <v>35.828571428571429</v>
      </c>
      <c r="I248" t="s">
        <v>167</v>
      </c>
      <c r="J248" s="2">
        <v>3.75</v>
      </c>
    </row>
    <row r="249" spans="3:10" x14ac:dyDescent="0.35">
      <c r="C249" t="s">
        <v>167</v>
      </c>
      <c r="D249">
        <v>37</v>
      </c>
      <c r="F249" t="s">
        <v>167</v>
      </c>
      <c r="G249" s="2">
        <v>35.297297297297298</v>
      </c>
      <c r="I249" t="s">
        <v>168</v>
      </c>
      <c r="J249" s="2">
        <v>6.333333333333333</v>
      </c>
    </row>
    <row r="250" spans="3:10" x14ac:dyDescent="0.35">
      <c r="C250" t="s">
        <v>168</v>
      </c>
      <c r="D250">
        <v>31</v>
      </c>
      <c r="F250" t="s">
        <v>168</v>
      </c>
      <c r="G250" s="2">
        <v>33</v>
      </c>
      <c r="I250" t="s">
        <v>169</v>
      </c>
      <c r="J250" s="2">
        <v>6.4</v>
      </c>
    </row>
    <row r="251" spans="3:10" x14ac:dyDescent="0.35">
      <c r="C251" t="s">
        <v>169</v>
      </c>
      <c r="D251">
        <v>24</v>
      </c>
      <c r="F251" t="s">
        <v>169</v>
      </c>
      <c r="G251" s="2">
        <v>38.958333333333336</v>
      </c>
      <c r="I251" t="s">
        <v>170</v>
      </c>
      <c r="J251" s="2">
        <v>5.0999999999999996</v>
      </c>
    </row>
    <row r="252" spans="3:10" x14ac:dyDescent="0.35">
      <c r="C252" t="s">
        <v>170</v>
      </c>
      <c r="D252">
        <v>28</v>
      </c>
      <c r="F252" t="s">
        <v>170</v>
      </c>
      <c r="G252" s="2">
        <v>37.428571428571431</v>
      </c>
      <c r="I252" t="s">
        <v>171</v>
      </c>
      <c r="J252" s="2">
        <v>4.1428571428571432</v>
      </c>
    </row>
    <row r="253" spans="3:10" x14ac:dyDescent="0.35">
      <c r="C253" t="s">
        <v>171</v>
      </c>
      <c r="D253">
        <v>29</v>
      </c>
      <c r="F253" t="s">
        <v>171</v>
      </c>
      <c r="G253" s="2">
        <v>36.068965517241381</v>
      </c>
      <c r="I253" t="s">
        <v>172</v>
      </c>
      <c r="J253" s="2">
        <v>5.8</v>
      </c>
    </row>
    <row r="254" spans="3:10" x14ac:dyDescent="0.35">
      <c r="C254" t="s">
        <v>172</v>
      </c>
      <c r="D254">
        <v>34</v>
      </c>
      <c r="F254" t="s">
        <v>172</v>
      </c>
      <c r="G254" s="2">
        <v>32.235294117647058</v>
      </c>
      <c r="I254" t="s">
        <v>173</v>
      </c>
      <c r="J254" s="2">
        <v>3.8333333333333335</v>
      </c>
    </row>
    <row r="255" spans="3:10" x14ac:dyDescent="0.35">
      <c r="C255" t="s">
        <v>173</v>
      </c>
      <c r="D255">
        <v>32</v>
      </c>
      <c r="F255" t="s">
        <v>173</v>
      </c>
      <c r="G255" s="2">
        <v>37.71875</v>
      </c>
      <c r="I255" t="s">
        <v>174</v>
      </c>
      <c r="J255" s="2">
        <v>4</v>
      </c>
    </row>
    <row r="256" spans="3:10" x14ac:dyDescent="0.35">
      <c r="C256" t="s">
        <v>174</v>
      </c>
      <c r="D256">
        <v>29</v>
      </c>
      <c r="F256" t="s">
        <v>174</v>
      </c>
      <c r="G256" s="2">
        <v>31.275862068965516</v>
      </c>
      <c r="I256" t="s">
        <v>175</v>
      </c>
      <c r="J256" s="2">
        <v>6.833333333333333</v>
      </c>
    </row>
    <row r="257" spans="3:10" x14ac:dyDescent="0.35">
      <c r="C257" t="s">
        <v>175</v>
      </c>
      <c r="D257">
        <v>21</v>
      </c>
      <c r="F257" t="s">
        <v>175</v>
      </c>
      <c r="G257" s="2">
        <v>35.857142857142854</v>
      </c>
      <c r="I257" t="s">
        <v>176</v>
      </c>
      <c r="J257" s="2">
        <v>4.833333333333333</v>
      </c>
    </row>
    <row r="258" spans="3:10" x14ac:dyDescent="0.35">
      <c r="C258" t="s">
        <v>176</v>
      </c>
      <c r="D258">
        <v>29</v>
      </c>
      <c r="F258" t="s">
        <v>176</v>
      </c>
      <c r="G258" s="2">
        <v>33.068965517241381</v>
      </c>
      <c r="I258" t="s">
        <v>177</v>
      </c>
      <c r="J258" s="2">
        <v>4</v>
      </c>
    </row>
    <row r="259" spans="3:10" x14ac:dyDescent="0.35">
      <c r="C259" t="s">
        <v>177</v>
      </c>
      <c r="D259">
        <v>24</v>
      </c>
      <c r="F259" t="s">
        <v>177</v>
      </c>
      <c r="G259" s="2">
        <v>34.708333333333336</v>
      </c>
      <c r="I259" t="s">
        <v>178</v>
      </c>
      <c r="J259" s="2">
        <v>5.7142857142857144</v>
      </c>
    </row>
    <row r="260" spans="3:10" x14ac:dyDescent="0.35">
      <c r="C260" t="s">
        <v>178</v>
      </c>
      <c r="D260">
        <v>28</v>
      </c>
      <c r="F260" t="s">
        <v>178</v>
      </c>
      <c r="G260" s="2">
        <v>35.357142857142854</v>
      </c>
      <c r="I260" t="s">
        <v>179</v>
      </c>
      <c r="J260" s="2">
        <v>4.384615384615385</v>
      </c>
    </row>
    <row r="261" spans="3:10" x14ac:dyDescent="0.35">
      <c r="C261" t="s">
        <v>179</v>
      </c>
      <c r="D261">
        <v>44</v>
      </c>
      <c r="F261" t="s">
        <v>179</v>
      </c>
      <c r="G261" s="2">
        <v>37.613636363636367</v>
      </c>
      <c r="I261" t="s">
        <v>180</v>
      </c>
      <c r="J261" s="2">
        <v>5.5</v>
      </c>
    </row>
    <row r="262" spans="3:10" x14ac:dyDescent="0.35">
      <c r="C262" t="s">
        <v>180</v>
      </c>
      <c r="D262">
        <v>35</v>
      </c>
      <c r="F262" t="s">
        <v>180</v>
      </c>
      <c r="G262" s="2">
        <v>33.514285714285712</v>
      </c>
      <c r="I262" t="s">
        <v>181</v>
      </c>
      <c r="J262" s="2">
        <v>5.8888888888888893</v>
      </c>
    </row>
    <row r="263" spans="3:10" x14ac:dyDescent="0.35">
      <c r="C263" t="s">
        <v>181</v>
      </c>
      <c r="D263">
        <v>38</v>
      </c>
      <c r="F263" t="s">
        <v>181</v>
      </c>
      <c r="G263" s="2">
        <v>32.131578947368418</v>
      </c>
      <c r="I263" t="s">
        <v>182</v>
      </c>
      <c r="J263" s="2">
        <v>6.1818181818181817</v>
      </c>
    </row>
    <row r="264" spans="3:10" x14ac:dyDescent="0.35">
      <c r="C264" t="s">
        <v>182</v>
      </c>
      <c r="D264">
        <v>28</v>
      </c>
      <c r="F264" t="s">
        <v>182</v>
      </c>
      <c r="G264" s="2">
        <v>37.571428571428569</v>
      </c>
      <c r="I264" t="s">
        <v>183</v>
      </c>
      <c r="J264" s="2">
        <v>4</v>
      </c>
    </row>
    <row r="265" spans="3:10" x14ac:dyDescent="0.35">
      <c r="C265" t="s">
        <v>183</v>
      </c>
      <c r="D265">
        <v>34</v>
      </c>
      <c r="F265" t="s">
        <v>183</v>
      </c>
      <c r="G265" s="2">
        <v>31.911764705882351</v>
      </c>
      <c r="I265" t="s">
        <v>184</v>
      </c>
      <c r="J265" s="2">
        <v>4.333333333333333</v>
      </c>
    </row>
    <row r="266" spans="3:10" x14ac:dyDescent="0.35">
      <c r="C266" t="s">
        <v>184</v>
      </c>
      <c r="D266">
        <v>26</v>
      </c>
      <c r="F266" t="s">
        <v>184</v>
      </c>
      <c r="G266" s="2">
        <v>34.03846153846154</v>
      </c>
      <c r="I266" t="s">
        <v>185</v>
      </c>
      <c r="J266" s="2">
        <v>4.8461538461538458</v>
      </c>
    </row>
    <row r="267" spans="3:10" x14ac:dyDescent="0.35">
      <c r="C267" t="s">
        <v>185</v>
      </c>
      <c r="D267">
        <v>36</v>
      </c>
      <c r="F267" t="s">
        <v>185</v>
      </c>
      <c r="G267" s="2">
        <v>33.722222222222221</v>
      </c>
      <c r="I267" t="s">
        <v>186</v>
      </c>
      <c r="J267" s="2">
        <v>3</v>
      </c>
    </row>
    <row r="268" spans="3:10" x14ac:dyDescent="0.35">
      <c r="C268" t="s">
        <v>186</v>
      </c>
      <c r="D268">
        <v>32</v>
      </c>
      <c r="F268" t="s">
        <v>186</v>
      </c>
      <c r="G268" s="2">
        <v>31.5625</v>
      </c>
      <c r="I268" t="s">
        <v>187</v>
      </c>
      <c r="J268" s="2">
        <v>3.8333333333333335</v>
      </c>
    </row>
    <row r="269" spans="3:10" x14ac:dyDescent="0.35">
      <c r="C269" t="s">
        <v>187</v>
      </c>
      <c r="D269">
        <v>25</v>
      </c>
      <c r="F269" t="s">
        <v>187</v>
      </c>
      <c r="G269" s="2">
        <v>37.24</v>
      </c>
      <c r="I269" t="s">
        <v>188</v>
      </c>
      <c r="J269" s="2">
        <v>6.5</v>
      </c>
    </row>
    <row r="270" spans="3:10" x14ac:dyDescent="0.35">
      <c r="C270" t="s">
        <v>188</v>
      </c>
      <c r="D270">
        <v>30</v>
      </c>
      <c r="F270" t="s">
        <v>188</v>
      </c>
      <c r="G270" s="2">
        <v>34.9</v>
      </c>
      <c r="I270" t="s">
        <v>189</v>
      </c>
      <c r="J270" s="2">
        <v>5.7</v>
      </c>
    </row>
    <row r="271" spans="3:10" x14ac:dyDescent="0.35">
      <c r="C271" t="s">
        <v>189</v>
      </c>
      <c r="D271">
        <v>29</v>
      </c>
      <c r="F271" t="s">
        <v>189</v>
      </c>
      <c r="G271" s="2">
        <v>35.413793103448278</v>
      </c>
      <c r="I271" t="s">
        <v>190</v>
      </c>
      <c r="J271" s="2">
        <v>4.5714285714285712</v>
      </c>
    </row>
    <row r="272" spans="3:10" x14ac:dyDescent="0.35">
      <c r="C272" t="s">
        <v>190</v>
      </c>
      <c r="D272">
        <v>32</v>
      </c>
      <c r="F272" t="s">
        <v>190</v>
      </c>
      <c r="G272" s="2">
        <v>33.5625</v>
      </c>
      <c r="I272" t="s">
        <v>191</v>
      </c>
      <c r="J272" s="2">
        <v>3.2727272727272729</v>
      </c>
    </row>
    <row r="273" spans="3:10" x14ac:dyDescent="0.35">
      <c r="C273" t="s">
        <v>191</v>
      </c>
      <c r="D273">
        <v>29</v>
      </c>
      <c r="F273" t="s">
        <v>191</v>
      </c>
      <c r="G273" s="2">
        <v>32.586206896551722</v>
      </c>
      <c r="I273" t="s">
        <v>192</v>
      </c>
      <c r="J273" s="2">
        <v>3</v>
      </c>
    </row>
    <row r="274" spans="3:10" x14ac:dyDescent="0.35">
      <c r="C274" t="s">
        <v>192</v>
      </c>
      <c r="D274">
        <v>33</v>
      </c>
      <c r="F274" t="s">
        <v>192</v>
      </c>
      <c r="G274" s="2">
        <v>33.030303030303031</v>
      </c>
      <c r="I274" t="s">
        <v>193</v>
      </c>
      <c r="J274" s="2">
        <v>7.2857142857142856</v>
      </c>
    </row>
    <row r="275" spans="3:10" x14ac:dyDescent="0.35">
      <c r="C275" t="s">
        <v>193</v>
      </c>
      <c r="D275">
        <v>32</v>
      </c>
      <c r="F275" t="s">
        <v>193</v>
      </c>
      <c r="G275" s="2">
        <v>33.25</v>
      </c>
      <c r="I275" t="s">
        <v>194</v>
      </c>
      <c r="J275" s="2">
        <v>5.7142857142857144</v>
      </c>
    </row>
    <row r="276" spans="3:10" x14ac:dyDescent="0.35">
      <c r="C276" t="s">
        <v>194</v>
      </c>
      <c r="D276">
        <v>36</v>
      </c>
      <c r="F276" t="s">
        <v>194</v>
      </c>
      <c r="G276" s="2">
        <v>36.611111111111114</v>
      </c>
      <c r="I276" t="s">
        <v>195</v>
      </c>
      <c r="J276" s="2">
        <v>4.833333333333333</v>
      </c>
    </row>
    <row r="277" spans="3:10" x14ac:dyDescent="0.35">
      <c r="C277" t="s">
        <v>195</v>
      </c>
      <c r="D277">
        <v>35</v>
      </c>
      <c r="F277" t="s">
        <v>195</v>
      </c>
      <c r="G277" s="2">
        <v>36.971428571428568</v>
      </c>
      <c r="I277" t="s">
        <v>196</v>
      </c>
      <c r="J277" s="2">
        <v>4.5</v>
      </c>
    </row>
    <row r="278" spans="3:10" x14ac:dyDescent="0.35">
      <c r="C278" t="s">
        <v>196</v>
      </c>
      <c r="D278">
        <v>25</v>
      </c>
      <c r="F278" t="s">
        <v>196</v>
      </c>
      <c r="G278" s="2">
        <v>35.64</v>
      </c>
      <c r="I278" t="s">
        <v>197</v>
      </c>
      <c r="J278" s="2">
        <v>3.6666666666666665</v>
      </c>
    </row>
    <row r="279" spans="3:10" x14ac:dyDescent="0.35">
      <c r="C279" t="s">
        <v>197</v>
      </c>
      <c r="D279">
        <v>33</v>
      </c>
      <c r="F279" t="s">
        <v>197</v>
      </c>
      <c r="G279" s="2">
        <v>34.454545454545453</v>
      </c>
      <c r="I279" t="s">
        <v>198</v>
      </c>
      <c r="J279" s="2">
        <v>5.4444444444444446</v>
      </c>
    </row>
    <row r="280" spans="3:10" x14ac:dyDescent="0.35">
      <c r="C280" t="s">
        <v>198</v>
      </c>
      <c r="D280">
        <v>34</v>
      </c>
      <c r="F280" t="s">
        <v>198</v>
      </c>
      <c r="G280" s="2">
        <v>37.088235294117645</v>
      </c>
      <c r="I280" t="s">
        <v>199</v>
      </c>
      <c r="J280" s="2">
        <v>4.2857142857142856</v>
      </c>
    </row>
    <row r="281" spans="3:10" x14ac:dyDescent="0.35">
      <c r="C281" t="s">
        <v>199</v>
      </c>
      <c r="D281">
        <v>30</v>
      </c>
      <c r="F281" t="s">
        <v>199</v>
      </c>
      <c r="G281" s="2">
        <v>27.933333333333334</v>
      </c>
      <c r="I281" t="s">
        <v>200</v>
      </c>
      <c r="J281" s="2">
        <v>3.3333333333333335</v>
      </c>
    </row>
    <row r="282" spans="3:10" x14ac:dyDescent="0.35">
      <c r="C282" t="s">
        <v>200</v>
      </c>
      <c r="D282">
        <v>26</v>
      </c>
      <c r="F282" t="s">
        <v>200</v>
      </c>
      <c r="G282" s="2">
        <v>33.884615384615387</v>
      </c>
      <c r="I282" t="s">
        <v>201</v>
      </c>
      <c r="J282" s="2">
        <v>7.1428571428571432</v>
      </c>
    </row>
    <row r="283" spans="3:10" x14ac:dyDescent="0.35">
      <c r="C283" t="s">
        <v>201</v>
      </c>
      <c r="D283">
        <v>29</v>
      </c>
      <c r="F283" t="s">
        <v>201</v>
      </c>
      <c r="G283" s="2">
        <v>33.827586206896555</v>
      </c>
      <c r="I283" t="s">
        <v>202</v>
      </c>
      <c r="J283" s="2">
        <v>4</v>
      </c>
    </row>
    <row r="284" spans="3:10" x14ac:dyDescent="0.35">
      <c r="C284" t="s">
        <v>202</v>
      </c>
      <c r="D284">
        <v>26</v>
      </c>
      <c r="F284" t="s">
        <v>202</v>
      </c>
      <c r="G284" s="2">
        <v>31.576923076923077</v>
      </c>
      <c r="I284" t="s">
        <v>203</v>
      </c>
      <c r="J284" s="2">
        <v>5</v>
      </c>
    </row>
    <row r="285" spans="3:10" x14ac:dyDescent="0.35">
      <c r="C285" t="s">
        <v>203</v>
      </c>
      <c r="D285">
        <v>37</v>
      </c>
      <c r="F285" t="s">
        <v>203</v>
      </c>
      <c r="G285" s="2">
        <v>33.270270270270274</v>
      </c>
      <c r="I285" t="s">
        <v>204</v>
      </c>
      <c r="J285" s="2">
        <v>8.5</v>
      </c>
    </row>
    <row r="286" spans="3:10" x14ac:dyDescent="0.35">
      <c r="C286" t="s">
        <v>204</v>
      </c>
      <c r="D286">
        <v>22</v>
      </c>
      <c r="F286" t="s">
        <v>204</v>
      </c>
      <c r="G286" s="2">
        <v>36.5</v>
      </c>
      <c r="I286" t="s">
        <v>205</v>
      </c>
      <c r="J286" s="2">
        <v>5.3636363636363633</v>
      </c>
    </row>
    <row r="287" spans="3:10" x14ac:dyDescent="0.35">
      <c r="C287" t="s">
        <v>205</v>
      </c>
      <c r="D287">
        <v>43</v>
      </c>
      <c r="F287" t="s">
        <v>205</v>
      </c>
      <c r="G287" s="2">
        <v>34.093023255813954</v>
      </c>
      <c r="I287" t="s">
        <v>206</v>
      </c>
      <c r="J287" s="2">
        <v>3.2222222222222223</v>
      </c>
    </row>
    <row r="288" spans="3:10" x14ac:dyDescent="0.35">
      <c r="C288" t="s">
        <v>206</v>
      </c>
      <c r="D288">
        <v>37</v>
      </c>
      <c r="F288" t="s">
        <v>206</v>
      </c>
      <c r="G288" s="2">
        <v>39.216216216216218</v>
      </c>
      <c r="I288" t="s">
        <v>207</v>
      </c>
      <c r="J288" s="2">
        <v>3.8888888888888888</v>
      </c>
    </row>
    <row r="289" spans="3:10" x14ac:dyDescent="0.35">
      <c r="C289" t="s">
        <v>207</v>
      </c>
      <c r="D289">
        <v>34</v>
      </c>
      <c r="F289" t="s">
        <v>207</v>
      </c>
      <c r="G289" s="2">
        <v>35.676470588235297</v>
      </c>
      <c r="I289" t="s">
        <v>208</v>
      </c>
      <c r="J289" s="2">
        <v>5.4615384615384617</v>
      </c>
    </row>
    <row r="290" spans="3:10" x14ac:dyDescent="0.35">
      <c r="C290" t="s">
        <v>208</v>
      </c>
      <c r="D290">
        <v>31</v>
      </c>
      <c r="F290" t="s">
        <v>208</v>
      </c>
      <c r="G290" s="2">
        <v>34.354838709677416</v>
      </c>
      <c r="I290" t="s">
        <v>209</v>
      </c>
      <c r="J290" s="2">
        <v>5.9090909090909092</v>
      </c>
    </row>
    <row r="291" spans="3:10" x14ac:dyDescent="0.35">
      <c r="C291" t="s">
        <v>209</v>
      </c>
      <c r="D291">
        <v>25</v>
      </c>
      <c r="F291" t="s">
        <v>209</v>
      </c>
      <c r="G291" s="2">
        <v>38.56</v>
      </c>
      <c r="I291" t="s">
        <v>210</v>
      </c>
      <c r="J291" s="2">
        <v>6.625</v>
      </c>
    </row>
    <row r="292" spans="3:10" x14ac:dyDescent="0.35">
      <c r="C292" t="s">
        <v>210</v>
      </c>
      <c r="D292">
        <v>26</v>
      </c>
      <c r="F292" t="s">
        <v>210</v>
      </c>
      <c r="G292" s="2">
        <v>28.76923076923077</v>
      </c>
      <c r="I292" t="s">
        <v>211</v>
      </c>
      <c r="J292" s="2">
        <v>6.4545454545454541</v>
      </c>
    </row>
    <row r="293" spans="3:10" x14ac:dyDescent="0.35">
      <c r="C293" t="s">
        <v>211</v>
      </c>
      <c r="D293">
        <v>28</v>
      </c>
      <c r="F293" t="s">
        <v>211</v>
      </c>
      <c r="G293" s="2">
        <v>33.571428571428569</v>
      </c>
      <c r="I293" t="s">
        <v>212</v>
      </c>
      <c r="J293" s="2">
        <v>5.166666666666667</v>
      </c>
    </row>
    <row r="294" spans="3:10" x14ac:dyDescent="0.35">
      <c r="C294" t="s">
        <v>212</v>
      </c>
      <c r="D294">
        <v>43</v>
      </c>
      <c r="F294" t="s">
        <v>212</v>
      </c>
      <c r="G294" s="2">
        <v>33.534883720930232</v>
      </c>
      <c r="I294" t="s">
        <v>213</v>
      </c>
      <c r="J294" s="2">
        <v>6.7</v>
      </c>
    </row>
    <row r="295" spans="3:10" x14ac:dyDescent="0.35">
      <c r="C295" t="s">
        <v>213</v>
      </c>
      <c r="D295">
        <v>33</v>
      </c>
      <c r="F295" t="s">
        <v>213</v>
      </c>
      <c r="G295" s="2">
        <v>39.515151515151516</v>
      </c>
      <c r="I295" t="s">
        <v>214</v>
      </c>
      <c r="J295" s="2">
        <v>3.75</v>
      </c>
    </row>
    <row r="296" spans="3:10" x14ac:dyDescent="0.35">
      <c r="C296" t="s">
        <v>214</v>
      </c>
      <c r="D296">
        <v>42</v>
      </c>
      <c r="F296" t="s">
        <v>214</v>
      </c>
      <c r="G296" s="2">
        <v>32.714285714285715</v>
      </c>
      <c r="I296" t="s">
        <v>215</v>
      </c>
      <c r="J296" s="2">
        <v>4.8461538461538458</v>
      </c>
    </row>
    <row r="297" spans="3:10" x14ac:dyDescent="0.35">
      <c r="C297" t="s">
        <v>215</v>
      </c>
      <c r="D297">
        <v>35</v>
      </c>
      <c r="F297" t="s">
        <v>215</v>
      </c>
      <c r="G297" s="2">
        <v>30.62857142857143</v>
      </c>
      <c r="I297" t="s">
        <v>216</v>
      </c>
      <c r="J297" s="2">
        <v>4.6363636363636367</v>
      </c>
    </row>
    <row r="298" spans="3:10" x14ac:dyDescent="0.35">
      <c r="C298" t="s">
        <v>216</v>
      </c>
      <c r="D298">
        <v>35</v>
      </c>
      <c r="F298" t="s">
        <v>216</v>
      </c>
      <c r="G298" s="2">
        <v>36.914285714285711</v>
      </c>
      <c r="I298" t="s">
        <v>217</v>
      </c>
      <c r="J298" s="2">
        <v>5.1111111111111107</v>
      </c>
    </row>
    <row r="299" spans="3:10" x14ac:dyDescent="0.35">
      <c r="C299" t="s">
        <v>217</v>
      </c>
      <c r="D299">
        <v>31</v>
      </c>
      <c r="F299" t="s">
        <v>217</v>
      </c>
      <c r="G299" s="2">
        <v>41.064516129032256</v>
      </c>
      <c r="I299" t="s">
        <v>218</v>
      </c>
      <c r="J299" s="2">
        <v>7.375</v>
      </c>
    </row>
    <row r="300" spans="3:10" x14ac:dyDescent="0.35">
      <c r="C300" t="s">
        <v>218</v>
      </c>
      <c r="D300">
        <v>31</v>
      </c>
      <c r="F300" t="s">
        <v>218</v>
      </c>
      <c r="G300" s="2">
        <v>32.58064516129032</v>
      </c>
      <c r="I300" t="s">
        <v>219</v>
      </c>
      <c r="J300" s="2">
        <v>4.4444444444444446</v>
      </c>
    </row>
    <row r="301" spans="3:10" x14ac:dyDescent="0.35">
      <c r="C301" t="s">
        <v>219</v>
      </c>
      <c r="D301">
        <v>33</v>
      </c>
      <c r="F301" t="s">
        <v>219</v>
      </c>
      <c r="G301" s="2">
        <v>31.393939393939394</v>
      </c>
      <c r="I301" t="s">
        <v>220</v>
      </c>
      <c r="J301" s="2">
        <v>3.8888888888888888</v>
      </c>
    </row>
    <row r="302" spans="3:10" x14ac:dyDescent="0.35">
      <c r="C302" t="s">
        <v>220</v>
      </c>
      <c r="D302">
        <v>33</v>
      </c>
      <c r="F302" t="s">
        <v>220</v>
      </c>
      <c r="G302" s="2">
        <v>29.363636363636363</v>
      </c>
      <c r="I302" t="s">
        <v>221</v>
      </c>
      <c r="J302" s="2">
        <v>5.8888888888888893</v>
      </c>
    </row>
    <row r="303" spans="3:10" x14ac:dyDescent="0.35">
      <c r="C303" t="s">
        <v>221</v>
      </c>
      <c r="D303">
        <v>20</v>
      </c>
      <c r="F303" t="s">
        <v>221</v>
      </c>
      <c r="G303" s="2">
        <v>35.4</v>
      </c>
      <c r="I303" t="s">
        <v>222</v>
      </c>
      <c r="J303" s="2">
        <v>4</v>
      </c>
    </row>
    <row r="304" spans="3:10" x14ac:dyDescent="0.35">
      <c r="C304" t="s">
        <v>222</v>
      </c>
      <c r="D304">
        <v>29</v>
      </c>
      <c r="F304" t="s">
        <v>222</v>
      </c>
      <c r="G304" s="2">
        <v>35.655172413793103</v>
      </c>
      <c r="I304" t="s">
        <v>223</v>
      </c>
      <c r="J304" s="2">
        <v>3.75</v>
      </c>
    </row>
    <row r="305" spans="3:10" x14ac:dyDescent="0.35">
      <c r="C305" t="s">
        <v>223</v>
      </c>
      <c r="D305">
        <v>27</v>
      </c>
      <c r="F305" t="s">
        <v>223</v>
      </c>
      <c r="G305" s="2">
        <v>40.481481481481481</v>
      </c>
      <c r="I305" t="s">
        <v>224</v>
      </c>
      <c r="J305" s="2">
        <v>4.625</v>
      </c>
    </row>
    <row r="306" spans="3:10" x14ac:dyDescent="0.35">
      <c r="C306" t="s">
        <v>224</v>
      </c>
      <c r="D306">
        <v>31</v>
      </c>
      <c r="F306" t="s">
        <v>224</v>
      </c>
      <c r="G306" s="2">
        <v>31.193548387096776</v>
      </c>
      <c r="I306" t="s">
        <v>225</v>
      </c>
      <c r="J306" s="2">
        <v>5</v>
      </c>
    </row>
    <row r="307" spans="3:10" x14ac:dyDescent="0.35">
      <c r="C307" t="s">
        <v>225</v>
      </c>
      <c r="D307">
        <v>20</v>
      </c>
      <c r="F307" t="s">
        <v>225</v>
      </c>
      <c r="G307" s="2">
        <v>35.049999999999997</v>
      </c>
      <c r="I307" t="s">
        <v>226</v>
      </c>
      <c r="J307" s="2">
        <v>4.666666666666667</v>
      </c>
    </row>
    <row r="308" spans="3:10" x14ac:dyDescent="0.35">
      <c r="C308" t="s">
        <v>226</v>
      </c>
      <c r="D308">
        <v>17</v>
      </c>
      <c r="F308" t="s">
        <v>226</v>
      </c>
      <c r="G308" s="2">
        <v>35.117647058823529</v>
      </c>
      <c r="I308" t="s">
        <v>227</v>
      </c>
      <c r="J308" s="2">
        <v>4.666666666666667</v>
      </c>
    </row>
    <row r="309" spans="3:10" x14ac:dyDescent="0.35">
      <c r="C309" t="s">
        <v>227</v>
      </c>
      <c r="D309">
        <v>12</v>
      </c>
      <c r="F309" t="s">
        <v>227</v>
      </c>
      <c r="G309" s="2">
        <v>28.916666666666668</v>
      </c>
      <c r="I309" t="s">
        <v>228</v>
      </c>
      <c r="J309" s="2">
        <v>5.4</v>
      </c>
    </row>
    <row r="310" spans="3:10" x14ac:dyDescent="0.35">
      <c r="C310" t="s">
        <v>228</v>
      </c>
      <c r="D310">
        <v>14</v>
      </c>
      <c r="F310" t="s">
        <v>228</v>
      </c>
      <c r="G310" s="2">
        <v>34.357142857142854</v>
      </c>
      <c r="I310" t="s">
        <v>229</v>
      </c>
      <c r="J310" s="2">
        <v>5.2</v>
      </c>
    </row>
    <row r="311" spans="3:10" x14ac:dyDescent="0.35">
      <c r="C311" t="s">
        <v>229</v>
      </c>
      <c r="D311">
        <v>17</v>
      </c>
      <c r="F311" t="s">
        <v>229</v>
      </c>
      <c r="G311" s="2">
        <v>29.705882352941178</v>
      </c>
      <c r="I311" t="s">
        <v>230</v>
      </c>
      <c r="J311" s="2">
        <v>2.4285714285714284</v>
      </c>
    </row>
    <row r="312" spans="3:10" x14ac:dyDescent="0.35">
      <c r="C312" t="s">
        <v>230</v>
      </c>
      <c r="D312">
        <v>17</v>
      </c>
      <c r="F312" t="s">
        <v>230</v>
      </c>
      <c r="G312" s="2">
        <v>33.176470588235297</v>
      </c>
      <c r="I312" t="s">
        <v>231</v>
      </c>
      <c r="J312" s="2">
        <v>4.8</v>
      </c>
    </row>
    <row r="313" spans="3:10" x14ac:dyDescent="0.35">
      <c r="C313" t="s">
        <v>231</v>
      </c>
      <c r="D313">
        <v>16</v>
      </c>
      <c r="F313" t="s">
        <v>231</v>
      </c>
      <c r="G313" s="2">
        <v>39.8125</v>
      </c>
      <c r="I313" t="s">
        <v>232</v>
      </c>
      <c r="J313" s="2">
        <v>6.5714285714285712</v>
      </c>
    </row>
    <row r="314" spans="3:10" x14ac:dyDescent="0.35">
      <c r="C314" t="s">
        <v>232</v>
      </c>
      <c r="D314">
        <v>19</v>
      </c>
      <c r="F314" t="s">
        <v>232</v>
      </c>
      <c r="G314" s="2">
        <v>36.578947368421055</v>
      </c>
      <c r="I314" t="s">
        <v>233</v>
      </c>
      <c r="J314" s="2">
        <v>3</v>
      </c>
    </row>
    <row r="315" spans="3:10" x14ac:dyDescent="0.35">
      <c r="C315" t="s">
        <v>233</v>
      </c>
      <c r="D315">
        <v>14</v>
      </c>
      <c r="F315" t="s">
        <v>233</v>
      </c>
      <c r="G315" s="2">
        <v>34.5</v>
      </c>
      <c r="I315" t="s">
        <v>234</v>
      </c>
      <c r="J315" s="2">
        <v>4.5999999999999996</v>
      </c>
    </row>
    <row r="316" spans="3:10" x14ac:dyDescent="0.35">
      <c r="C316" t="s">
        <v>234</v>
      </c>
      <c r="D316">
        <v>17</v>
      </c>
      <c r="F316" t="s">
        <v>234</v>
      </c>
      <c r="G316" s="2">
        <v>39.764705882352942</v>
      </c>
      <c r="I316" t="s">
        <v>235</v>
      </c>
      <c r="J316" s="2">
        <v>3.875</v>
      </c>
    </row>
    <row r="317" spans="3:10" x14ac:dyDescent="0.35">
      <c r="C317" t="s">
        <v>235</v>
      </c>
      <c r="D317">
        <v>13</v>
      </c>
      <c r="F317" t="s">
        <v>235</v>
      </c>
      <c r="G317" s="2">
        <v>35.230769230769234</v>
      </c>
      <c r="I317" t="s">
        <v>236</v>
      </c>
      <c r="J317" s="2">
        <v>7.25</v>
      </c>
    </row>
    <row r="318" spans="3:10" x14ac:dyDescent="0.35">
      <c r="C318" t="s">
        <v>236</v>
      </c>
      <c r="D318">
        <v>12</v>
      </c>
      <c r="F318" t="s">
        <v>236</v>
      </c>
      <c r="G318" s="2">
        <v>41.5</v>
      </c>
      <c r="I318" t="s">
        <v>237</v>
      </c>
      <c r="J318" s="2">
        <v>3</v>
      </c>
    </row>
    <row r="319" spans="3:10" x14ac:dyDescent="0.35">
      <c r="C319" t="s">
        <v>237</v>
      </c>
      <c r="D319">
        <v>16</v>
      </c>
      <c r="F319" t="s">
        <v>237</v>
      </c>
      <c r="G319" s="2">
        <v>38.0625</v>
      </c>
      <c r="I319" t="s">
        <v>238</v>
      </c>
      <c r="J319" s="2">
        <v>8</v>
      </c>
    </row>
    <row r="320" spans="3:10" x14ac:dyDescent="0.35">
      <c r="C320" t="s">
        <v>238</v>
      </c>
      <c r="D320">
        <v>9</v>
      </c>
      <c r="F320" t="s">
        <v>238</v>
      </c>
      <c r="G320" s="2">
        <v>29.222222222222221</v>
      </c>
      <c r="I320" t="s">
        <v>239</v>
      </c>
      <c r="J320" s="2">
        <v>6</v>
      </c>
    </row>
    <row r="321" spans="3:10" x14ac:dyDescent="0.35">
      <c r="C321" t="s">
        <v>239</v>
      </c>
      <c r="D321">
        <v>17</v>
      </c>
      <c r="F321" t="s">
        <v>239</v>
      </c>
      <c r="G321" s="2">
        <v>31</v>
      </c>
      <c r="I321" t="s">
        <v>240</v>
      </c>
      <c r="J321" s="2">
        <v>3.6666666666666665</v>
      </c>
    </row>
    <row r="322" spans="3:10" x14ac:dyDescent="0.35">
      <c r="C322" t="s">
        <v>240</v>
      </c>
      <c r="D322">
        <v>16</v>
      </c>
      <c r="F322" t="s">
        <v>240</v>
      </c>
      <c r="G322" s="2">
        <v>37.3125</v>
      </c>
      <c r="I322" t="s">
        <v>241</v>
      </c>
      <c r="J322" s="2">
        <v>5.333333333333333</v>
      </c>
    </row>
    <row r="323" spans="3:10" x14ac:dyDescent="0.35">
      <c r="C323" t="s">
        <v>241</v>
      </c>
      <c r="D323">
        <v>17</v>
      </c>
      <c r="F323" t="s">
        <v>241</v>
      </c>
      <c r="G323" s="2">
        <v>35.647058823529413</v>
      </c>
      <c r="I323" t="s">
        <v>242</v>
      </c>
      <c r="J323" s="2">
        <v>6.1111111111111107</v>
      </c>
    </row>
    <row r="324" spans="3:10" x14ac:dyDescent="0.35">
      <c r="C324" t="s">
        <v>242</v>
      </c>
      <c r="D324">
        <v>21</v>
      </c>
      <c r="F324" t="s">
        <v>242</v>
      </c>
      <c r="G324" s="2">
        <v>36.476190476190474</v>
      </c>
      <c r="I324" t="s">
        <v>243</v>
      </c>
      <c r="J324" s="2">
        <v>6.5</v>
      </c>
    </row>
    <row r="325" spans="3:10" x14ac:dyDescent="0.35">
      <c r="C325" t="s">
        <v>243</v>
      </c>
      <c r="D325">
        <v>15</v>
      </c>
      <c r="F325" t="s">
        <v>243</v>
      </c>
      <c r="G325" s="2">
        <v>40.799999999999997</v>
      </c>
      <c r="I325" t="s">
        <v>244</v>
      </c>
      <c r="J325" s="2">
        <v>5</v>
      </c>
    </row>
    <row r="326" spans="3:10" x14ac:dyDescent="0.35">
      <c r="C326" t="s">
        <v>244</v>
      </c>
      <c r="D326">
        <v>22</v>
      </c>
      <c r="F326" t="s">
        <v>244</v>
      </c>
      <c r="G326" s="2">
        <v>30.318181818181817</v>
      </c>
      <c r="I326" t="s">
        <v>245</v>
      </c>
      <c r="J326" s="2">
        <v>5.8</v>
      </c>
    </row>
    <row r="327" spans="3:10" x14ac:dyDescent="0.35">
      <c r="C327" t="s">
        <v>245</v>
      </c>
      <c r="D327">
        <v>14</v>
      </c>
      <c r="F327" t="s">
        <v>245</v>
      </c>
      <c r="G327" s="2">
        <v>35.714285714285715</v>
      </c>
      <c r="I327" t="s">
        <v>246</v>
      </c>
      <c r="J327" s="2">
        <v>6</v>
      </c>
    </row>
    <row r="328" spans="3:10" x14ac:dyDescent="0.35">
      <c r="C328" t="s">
        <v>246</v>
      </c>
      <c r="D328">
        <v>13</v>
      </c>
      <c r="F328" t="s">
        <v>246</v>
      </c>
      <c r="G328" s="2">
        <v>33.53846153846154</v>
      </c>
      <c r="I328" t="s">
        <v>247</v>
      </c>
      <c r="J328" s="2">
        <v>8</v>
      </c>
    </row>
    <row r="329" spans="3:10" x14ac:dyDescent="0.35">
      <c r="C329" t="s">
        <v>247</v>
      </c>
      <c r="D329">
        <v>10</v>
      </c>
      <c r="F329" t="s">
        <v>247</v>
      </c>
      <c r="G329" s="2">
        <v>37.5</v>
      </c>
      <c r="I329" t="s">
        <v>248</v>
      </c>
      <c r="J329" s="2">
        <v>7</v>
      </c>
    </row>
    <row r="330" spans="3:10" x14ac:dyDescent="0.35">
      <c r="C330" t="s">
        <v>248</v>
      </c>
      <c r="D330">
        <v>17</v>
      </c>
      <c r="F330" t="s">
        <v>248</v>
      </c>
      <c r="G330" s="2">
        <v>38.058823529411768</v>
      </c>
      <c r="I330" t="s">
        <v>249</v>
      </c>
      <c r="J330" s="2">
        <v>3.75</v>
      </c>
    </row>
    <row r="331" spans="3:10" x14ac:dyDescent="0.35">
      <c r="C331" t="s">
        <v>249</v>
      </c>
      <c r="D331">
        <v>17</v>
      </c>
      <c r="F331" t="s">
        <v>249</v>
      </c>
      <c r="G331" s="2">
        <v>28.117647058823529</v>
      </c>
      <c r="I331" t="s">
        <v>250</v>
      </c>
      <c r="J331" s="2">
        <v>1</v>
      </c>
    </row>
    <row r="332" spans="3:10" x14ac:dyDescent="0.35">
      <c r="C332" t="s">
        <v>250</v>
      </c>
      <c r="D332">
        <v>13</v>
      </c>
      <c r="F332" t="s">
        <v>250</v>
      </c>
      <c r="G332" s="2">
        <v>31.846153846153847</v>
      </c>
      <c r="I332" t="s">
        <v>251</v>
      </c>
      <c r="J332" s="2">
        <v>9</v>
      </c>
    </row>
    <row r="333" spans="3:10" x14ac:dyDescent="0.35">
      <c r="C333" t="s">
        <v>251</v>
      </c>
      <c r="D333">
        <v>11</v>
      </c>
      <c r="F333" t="s">
        <v>251</v>
      </c>
      <c r="G333" s="2">
        <v>43.636363636363633</v>
      </c>
      <c r="I333" t="s">
        <v>252</v>
      </c>
      <c r="J333" s="2">
        <v>5.8</v>
      </c>
    </row>
    <row r="334" spans="3:10" x14ac:dyDescent="0.35">
      <c r="C334" t="s">
        <v>252</v>
      </c>
      <c r="D334">
        <v>19</v>
      </c>
      <c r="F334" t="s">
        <v>252</v>
      </c>
      <c r="G334" s="2">
        <v>38.842105263157897</v>
      </c>
      <c r="I334" t="s">
        <v>253</v>
      </c>
      <c r="J334" s="2">
        <v>4</v>
      </c>
    </row>
    <row r="335" spans="3:10" x14ac:dyDescent="0.35">
      <c r="C335" t="s">
        <v>253</v>
      </c>
      <c r="D335">
        <v>16</v>
      </c>
      <c r="F335" t="s">
        <v>253</v>
      </c>
      <c r="G335" s="2">
        <v>29.5625</v>
      </c>
      <c r="I335" t="s">
        <v>254</v>
      </c>
      <c r="J335" s="2">
        <v>6.4</v>
      </c>
    </row>
    <row r="336" spans="3:10" x14ac:dyDescent="0.35">
      <c r="C336" t="s">
        <v>254</v>
      </c>
      <c r="D336">
        <v>15</v>
      </c>
      <c r="F336" t="s">
        <v>254</v>
      </c>
      <c r="G336" s="2">
        <v>37.466666666666669</v>
      </c>
      <c r="I336" t="s">
        <v>255</v>
      </c>
      <c r="J336" s="2">
        <v>5</v>
      </c>
    </row>
    <row r="337" spans="3:10" x14ac:dyDescent="0.35">
      <c r="C337" t="s">
        <v>255</v>
      </c>
      <c r="D337">
        <v>18</v>
      </c>
      <c r="F337" t="s">
        <v>255</v>
      </c>
      <c r="G337" s="2">
        <v>35.277777777777779</v>
      </c>
      <c r="I337" t="s">
        <v>256</v>
      </c>
      <c r="J337" s="2">
        <v>9</v>
      </c>
    </row>
    <row r="338" spans="3:10" x14ac:dyDescent="0.35">
      <c r="C338" t="s">
        <v>256</v>
      </c>
      <c r="D338">
        <v>16</v>
      </c>
      <c r="F338" t="s">
        <v>256</v>
      </c>
      <c r="G338" s="2">
        <v>34.5</v>
      </c>
      <c r="I338" t="s">
        <v>257</v>
      </c>
      <c r="J338" s="2">
        <v>4.4000000000000004</v>
      </c>
    </row>
    <row r="339" spans="3:10" x14ac:dyDescent="0.35">
      <c r="C339" t="s">
        <v>257</v>
      </c>
      <c r="D339">
        <v>15</v>
      </c>
      <c r="F339" t="s">
        <v>257</v>
      </c>
      <c r="G339" s="2">
        <v>35.4</v>
      </c>
      <c r="I339" t="s">
        <v>258</v>
      </c>
      <c r="J339" s="2">
        <v>4</v>
      </c>
    </row>
    <row r="340" spans="3:10" x14ac:dyDescent="0.35">
      <c r="C340" t="s">
        <v>258</v>
      </c>
      <c r="D340">
        <v>14</v>
      </c>
      <c r="F340" t="s">
        <v>258</v>
      </c>
      <c r="G340" s="2">
        <v>34.928571428571431</v>
      </c>
      <c r="I340" t="s">
        <v>259</v>
      </c>
      <c r="J340" s="2">
        <v>0</v>
      </c>
    </row>
    <row r="341" spans="3:10" x14ac:dyDescent="0.35">
      <c r="C341" t="s">
        <v>259</v>
      </c>
      <c r="D341">
        <v>12</v>
      </c>
      <c r="F341" t="s">
        <v>259</v>
      </c>
      <c r="G341" s="2">
        <v>44.25</v>
      </c>
      <c r="I341" t="s">
        <v>260</v>
      </c>
      <c r="J341" s="2">
        <v>2.875</v>
      </c>
    </row>
    <row r="342" spans="3:10" x14ac:dyDescent="0.35">
      <c r="C342" t="s">
        <v>260</v>
      </c>
      <c r="D342">
        <v>16</v>
      </c>
      <c r="F342" t="s">
        <v>260</v>
      </c>
      <c r="G342" s="2">
        <v>40.1875</v>
      </c>
      <c r="I342" t="s">
        <v>261</v>
      </c>
      <c r="J342" s="2">
        <v>5.25</v>
      </c>
    </row>
    <row r="343" spans="3:10" x14ac:dyDescent="0.35">
      <c r="C343" t="s">
        <v>261</v>
      </c>
      <c r="D343">
        <v>11</v>
      </c>
      <c r="F343" t="s">
        <v>261</v>
      </c>
      <c r="G343" s="2">
        <v>35</v>
      </c>
      <c r="I343" t="s">
        <v>263</v>
      </c>
      <c r="J343" s="2">
        <v>6</v>
      </c>
    </row>
    <row r="344" spans="3:10" x14ac:dyDescent="0.35">
      <c r="C344" t="s">
        <v>262</v>
      </c>
      <c r="D344">
        <v>7</v>
      </c>
      <c r="F344" t="s">
        <v>262</v>
      </c>
      <c r="G344" s="2">
        <v>43.142857142857146</v>
      </c>
      <c r="I344" t="s">
        <v>264</v>
      </c>
      <c r="J344" s="2">
        <v>6.5</v>
      </c>
    </row>
    <row r="345" spans="3:10" x14ac:dyDescent="0.35">
      <c r="C345" t="s">
        <v>263</v>
      </c>
      <c r="D345">
        <v>16</v>
      </c>
      <c r="F345" t="s">
        <v>263</v>
      </c>
      <c r="G345" s="2">
        <v>43.6875</v>
      </c>
      <c r="I345" t="s">
        <v>265</v>
      </c>
      <c r="J345" s="2">
        <v>5.5</v>
      </c>
    </row>
    <row r="346" spans="3:10" x14ac:dyDescent="0.35">
      <c r="C346" t="s">
        <v>264</v>
      </c>
      <c r="D346">
        <v>7</v>
      </c>
      <c r="F346" t="s">
        <v>264</v>
      </c>
      <c r="G346" s="2">
        <v>33.857142857142854</v>
      </c>
      <c r="I346" t="s">
        <v>266</v>
      </c>
      <c r="J346" s="2">
        <v>5.666666666666667</v>
      </c>
    </row>
    <row r="347" spans="3:10" x14ac:dyDescent="0.35">
      <c r="C347" t="s">
        <v>265</v>
      </c>
      <c r="D347">
        <v>16</v>
      </c>
      <c r="F347" t="s">
        <v>265</v>
      </c>
      <c r="G347" s="2">
        <v>40.1875</v>
      </c>
      <c r="I347" t="s">
        <v>267</v>
      </c>
      <c r="J347" s="2">
        <v>5.25</v>
      </c>
    </row>
    <row r="348" spans="3:10" x14ac:dyDescent="0.35">
      <c r="C348" t="s">
        <v>266</v>
      </c>
      <c r="D348">
        <v>16</v>
      </c>
      <c r="F348" t="s">
        <v>266</v>
      </c>
      <c r="G348" s="2">
        <v>34.9375</v>
      </c>
      <c r="I348" t="s">
        <v>268</v>
      </c>
      <c r="J348" s="2">
        <v>7.25</v>
      </c>
    </row>
    <row r="349" spans="3:10" x14ac:dyDescent="0.35">
      <c r="C349" t="s">
        <v>267</v>
      </c>
      <c r="D349">
        <v>19</v>
      </c>
      <c r="F349" t="s">
        <v>267</v>
      </c>
      <c r="G349" s="2">
        <v>28.684210526315791</v>
      </c>
      <c r="I349" t="s">
        <v>269</v>
      </c>
      <c r="J349" s="2">
        <v>6</v>
      </c>
    </row>
    <row r="350" spans="3:10" x14ac:dyDescent="0.35">
      <c r="C350" t="s">
        <v>268</v>
      </c>
      <c r="D350">
        <v>10</v>
      </c>
      <c r="F350" t="s">
        <v>268</v>
      </c>
      <c r="G350" s="2">
        <v>25</v>
      </c>
      <c r="I350" t="s">
        <v>270</v>
      </c>
      <c r="J350" s="2">
        <v>4.5999999999999996</v>
      </c>
    </row>
    <row r="351" spans="3:10" x14ac:dyDescent="0.35">
      <c r="C351" t="s">
        <v>269</v>
      </c>
      <c r="D351">
        <v>13</v>
      </c>
      <c r="F351" t="s">
        <v>269</v>
      </c>
      <c r="G351" s="2">
        <v>35.46153846153846</v>
      </c>
      <c r="I351" t="s">
        <v>271</v>
      </c>
      <c r="J351" s="2">
        <v>8</v>
      </c>
    </row>
    <row r="352" spans="3:10" x14ac:dyDescent="0.35">
      <c r="C352" t="s">
        <v>270</v>
      </c>
      <c r="D352">
        <v>27</v>
      </c>
      <c r="F352" t="s">
        <v>270</v>
      </c>
      <c r="G352" s="2">
        <v>33.814814814814817</v>
      </c>
      <c r="I352" t="s">
        <v>272</v>
      </c>
      <c r="J352" s="2">
        <v>3.6666666666666665</v>
      </c>
    </row>
    <row r="353" spans="3:10" x14ac:dyDescent="0.35">
      <c r="C353" t="s">
        <v>271</v>
      </c>
      <c r="D353">
        <v>19</v>
      </c>
      <c r="F353" t="s">
        <v>271</v>
      </c>
      <c r="G353" s="2">
        <v>33.631578947368418</v>
      </c>
      <c r="I353" t="s">
        <v>273</v>
      </c>
      <c r="J353" s="2">
        <v>2.4285714285714284</v>
      </c>
    </row>
    <row r="354" spans="3:10" x14ac:dyDescent="0.35">
      <c r="C354" t="s">
        <v>272</v>
      </c>
      <c r="D354">
        <v>18</v>
      </c>
      <c r="F354" t="s">
        <v>272</v>
      </c>
      <c r="G354" s="2">
        <v>36.611111111111114</v>
      </c>
      <c r="I354" t="s">
        <v>274</v>
      </c>
      <c r="J354" s="2">
        <v>9</v>
      </c>
    </row>
    <row r="355" spans="3:10" x14ac:dyDescent="0.35">
      <c r="C355" t="s">
        <v>273</v>
      </c>
      <c r="D355">
        <v>12</v>
      </c>
      <c r="F355" t="s">
        <v>273</v>
      </c>
      <c r="G355" s="2">
        <v>30.5</v>
      </c>
      <c r="I355" t="s">
        <v>275</v>
      </c>
      <c r="J355" s="2">
        <v>6</v>
      </c>
    </row>
    <row r="356" spans="3:10" x14ac:dyDescent="0.35">
      <c r="C356" t="s">
        <v>274</v>
      </c>
      <c r="D356">
        <v>20</v>
      </c>
      <c r="F356" t="s">
        <v>274</v>
      </c>
      <c r="G356" s="2">
        <v>33.6</v>
      </c>
      <c r="I356" t="s">
        <v>276</v>
      </c>
      <c r="J356" s="2">
        <v>4</v>
      </c>
    </row>
    <row r="357" spans="3:10" x14ac:dyDescent="0.35">
      <c r="C357" t="s">
        <v>275</v>
      </c>
      <c r="D357">
        <v>12</v>
      </c>
      <c r="F357" t="s">
        <v>275</v>
      </c>
      <c r="G357" s="2">
        <v>26.75</v>
      </c>
      <c r="I357" t="s">
        <v>277</v>
      </c>
      <c r="J357" s="2">
        <v>4.833333333333333</v>
      </c>
    </row>
    <row r="358" spans="3:10" x14ac:dyDescent="0.35">
      <c r="C358" t="s">
        <v>276</v>
      </c>
      <c r="D358">
        <v>19</v>
      </c>
      <c r="F358" t="s">
        <v>276</v>
      </c>
      <c r="G358" s="2">
        <v>37.684210526315788</v>
      </c>
      <c r="I358" t="s">
        <v>278</v>
      </c>
      <c r="J358" s="2">
        <v>3.6</v>
      </c>
    </row>
    <row r="359" spans="3:10" x14ac:dyDescent="0.35">
      <c r="C359" t="s">
        <v>277</v>
      </c>
      <c r="D359">
        <v>18</v>
      </c>
      <c r="F359" t="s">
        <v>277</v>
      </c>
      <c r="G359" s="2">
        <v>36.611111111111114</v>
      </c>
      <c r="I359" t="s">
        <v>279</v>
      </c>
      <c r="J359" s="2">
        <v>5</v>
      </c>
    </row>
    <row r="360" spans="3:10" x14ac:dyDescent="0.35">
      <c r="C360" t="s">
        <v>278</v>
      </c>
      <c r="D360">
        <v>21</v>
      </c>
      <c r="F360" t="s">
        <v>278</v>
      </c>
      <c r="G360" s="2">
        <v>35.428571428571431</v>
      </c>
      <c r="I360" t="s">
        <v>280</v>
      </c>
      <c r="J360" s="2">
        <v>5.25</v>
      </c>
    </row>
    <row r="361" spans="3:10" x14ac:dyDescent="0.35">
      <c r="C361" t="s">
        <v>279</v>
      </c>
      <c r="D361">
        <v>18</v>
      </c>
      <c r="F361" t="s">
        <v>279</v>
      </c>
      <c r="G361" s="2">
        <v>31.944444444444443</v>
      </c>
      <c r="I361" t="s">
        <v>281</v>
      </c>
      <c r="J361" s="2">
        <v>3.2</v>
      </c>
    </row>
    <row r="362" spans="3:10" x14ac:dyDescent="0.35">
      <c r="C362" t="s">
        <v>280</v>
      </c>
      <c r="D362">
        <v>16</v>
      </c>
      <c r="F362" t="s">
        <v>280</v>
      </c>
      <c r="G362" s="2">
        <v>31.875</v>
      </c>
      <c r="I362" t="s">
        <v>282</v>
      </c>
      <c r="J362" s="2">
        <v>5.5</v>
      </c>
    </row>
    <row r="363" spans="3:10" x14ac:dyDescent="0.35">
      <c r="C363" t="s">
        <v>281</v>
      </c>
      <c r="D363">
        <v>14</v>
      </c>
      <c r="F363" t="s">
        <v>281</v>
      </c>
      <c r="G363" s="2">
        <v>28.642857142857142</v>
      </c>
      <c r="I363" t="s">
        <v>283</v>
      </c>
      <c r="J363" s="2">
        <v>3</v>
      </c>
    </row>
    <row r="364" spans="3:10" x14ac:dyDescent="0.35">
      <c r="C364" t="s">
        <v>282</v>
      </c>
      <c r="D364">
        <v>14</v>
      </c>
      <c r="F364" t="s">
        <v>282</v>
      </c>
      <c r="G364" s="2">
        <v>39.214285714285715</v>
      </c>
      <c r="I364" t="s">
        <v>284</v>
      </c>
      <c r="J364" s="2">
        <v>3.9090909090909092</v>
      </c>
    </row>
    <row r="365" spans="3:10" x14ac:dyDescent="0.35">
      <c r="C365" t="s">
        <v>283</v>
      </c>
      <c r="D365">
        <v>16</v>
      </c>
      <c r="F365" t="s">
        <v>283</v>
      </c>
      <c r="G365" s="2">
        <v>32.0625</v>
      </c>
      <c r="I365" t="s">
        <v>285</v>
      </c>
      <c r="J365" s="2">
        <v>2.6666666666666665</v>
      </c>
    </row>
    <row r="366" spans="3:10" x14ac:dyDescent="0.35">
      <c r="C366" t="s">
        <v>284</v>
      </c>
      <c r="D366">
        <v>21</v>
      </c>
      <c r="F366" t="s">
        <v>284</v>
      </c>
      <c r="G366" s="2">
        <v>28.285714285714285</v>
      </c>
      <c r="I366" t="s">
        <v>0</v>
      </c>
      <c r="J366" s="2">
        <v>4.9920540325784666</v>
      </c>
    </row>
    <row r="367" spans="3:10" x14ac:dyDescent="0.35">
      <c r="C367" t="s">
        <v>285</v>
      </c>
      <c r="D367">
        <v>21</v>
      </c>
      <c r="F367" t="s">
        <v>285</v>
      </c>
      <c r="G367" s="2">
        <v>35.476190476190474</v>
      </c>
    </row>
    <row r="368" spans="3:10" x14ac:dyDescent="0.35">
      <c r="C368" t="s">
        <v>286</v>
      </c>
      <c r="D368">
        <v>15</v>
      </c>
      <c r="F368" t="s">
        <v>286</v>
      </c>
      <c r="G368" s="2">
        <v>39.799999999999997</v>
      </c>
    </row>
    <row r="369" spans="3:7" x14ac:dyDescent="0.35">
      <c r="C369" t="s">
        <v>0</v>
      </c>
      <c r="D369">
        <v>9216</v>
      </c>
      <c r="F369" t="s">
        <v>0</v>
      </c>
      <c r="G369" s="2">
        <v>35.259874131944443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D485-D537-4360-AADB-5BDAEBB81345}">
  <dimension ref="A1:T20"/>
  <sheetViews>
    <sheetView showGridLines="0" tabSelected="1" zoomScale="94" zoomScaleNormal="115" workbookViewId="0">
      <selection activeCell="Q6" sqref="Q6"/>
    </sheetView>
  </sheetViews>
  <sheetFormatPr defaultRowHeight="14.5" x14ac:dyDescent="0.35"/>
  <cols>
    <col min="11" max="12" width="8.7265625" customWidth="1"/>
  </cols>
  <sheetData>
    <row r="1" spans="1:20" x14ac:dyDescent="0.35">
      <c r="A1" s="4" t="s">
        <v>38</v>
      </c>
      <c r="B1" s="3"/>
      <c r="C1" s="3"/>
      <c r="D1" s="3"/>
      <c r="E1" s="3"/>
      <c r="F1" s="3"/>
      <c r="G1" s="3"/>
      <c r="H1" s="3"/>
      <c r="I1" s="3"/>
      <c r="J1" s="3"/>
      <c r="K1" s="3"/>
      <c r="L1" s="3"/>
      <c r="M1" s="3"/>
      <c r="N1" s="3"/>
      <c r="O1" s="3"/>
      <c r="P1" s="3"/>
      <c r="Q1" s="3"/>
      <c r="R1" s="3"/>
      <c r="S1" s="3"/>
      <c r="T1" s="3"/>
    </row>
    <row r="2" spans="1:20" x14ac:dyDescent="0.35">
      <c r="A2" s="3"/>
      <c r="B2" s="3"/>
      <c r="C2" s="3"/>
      <c r="D2" s="3"/>
      <c r="E2" s="3"/>
      <c r="F2" s="3"/>
      <c r="G2" s="3"/>
      <c r="H2" s="3"/>
      <c r="I2" s="3"/>
      <c r="J2" s="3"/>
      <c r="K2" s="3"/>
      <c r="L2" s="3"/>
      <c r="M2" s="3"/>
      <c r="N2" s="3"/>
      <c r="O2" s="3"/>
      <c r="P2" s="3"/>
      <c r="Q2" s="3"/>
      <c r="R2" s="3"/>
      <c r="S2" s="3"/>
      <c r="T2" s="3"/>
    </row>
    <row r="3" spans="1:20" x14ac:dyDescent="0.35">
      <c r="A3" s="3"/>
      <c r="B3" s="3"/>
      <c r="C3" s="3"/>
      <c r="D3" s="3"/>
      <c r="E3" s="3"/>
      <c r="F3" s="3"/>
      <c r="G3" s="3"/>
      <c r="H3" s="3"/>
      <c r="I3" s="3"/>
      <c r="J3" s="3"/>
      <c r="K3" s="3"/>
      <c r="L3" s="3"/>
      <c r="M3" s="3"/>
      <c r="N3" s="3"/>
      <c r="O3" s="3"/>
      <c r="P3" s="3"/>
      <c r="Q3" s="3"/>
      <c r="R3" s="3"/>
      <c r="S3" s="3"/>
      <c r="T3" s="3"/>
    </row>
    <row r="4" spans="1:20" x14ac:dyDescent="0.35">
      <c r="A4" s="3"/>
      <c r="B4" s="3" t="s">
        <v>2</v>
      </c>
      <c r="C4" s="3"/>
      <c r="D4" s="3"/>
      <c r="E4" s="3"/>
      <c r="F4" s="3"/>
      <c r="G4" s="3"/>
      <c r="H4" s="3"/>
      <c r="I4" s="3"/>
      <c r="J4" s="3"/>
      <c r="K4" s="3"/>
      <c r="L4" s="3"/>
      <c r="M4" s="3"/>
      <c r="N4" s="3"/>
      <c r="O4" s="3"/>
      <c r="P4" s="3"/>
      <c r="Q4" s="3"/>
      <c r="R4" s="3"/>
      <c r="S4" s="3"/>
      <c r="T4" s="3"/>
    </row>
    <row r="5" spans="1:20" x14ac:dyDescent="0.35">
      <c r="A5" s="3"/>
      <c r="B5" s="3"/>
      <c r="C5" s="3"/>
      <c r="D5" s="3"/>
      <c r="E5" s="3"/>
      <c r="F5" s="3"/>
      <c r="G5" s="3"/>
      <c r="H5" s="3"/>
      <c r="I5" s="3"/>
      <c r="J5" s="3"/>
      <c r="K5" s="3"/>
      <c r="L5" s="3"/>
      <c r="M5" s="3"/>
      <c r="N5" s="3"/>
      <c r="O5" s="3"/>
      <c r="P5" s="3"/>
      <c r="Q5" s="3"/>
      <c r="R5" s="3"/>
      <c r="S5" s="3"/>
      <c r="T5" s="3"/>
    </row>
    <row r="6" spans="1:20" x14ac:dyDescent="0.35">
      <c r="A6" s="3"/>
      <c r="B6" s="3"/>
      <c r="C6" s="3"/>
      <c r="D6" s="3"/>
      <c r="E6" s="3"/>
      <c r="F6" s="3"/>
      <c r="G6" s="3"/>
      <c r="H6" s="3"/>
      <c r="I6" s="3"/>
      <c r="J6" s="3"/>
      <c r="K6" s="3"/>
      <c r="L6" s="3"/>
      <c r="M6" s="3"/>
      <c r="N6" s="3"/>
      <c r="O6" s="3"/>
      <c r="P6" s="3"/>
      <c r="Q6" s="3"/>
      <c r="R6" s="3"/>
      <c r="S6" s="3"/>
      <c r="T6" s="3"/>
    </row>
    <row r="7" spans="1:20" x14ac:dyDescent="0.35">
      <c r="A7" s="3"/>
      <c r="B7" s="3"/>
      <c r="C7" s="3"/>
      <c r="D7" s="3"/>
      <c r="E7" s="3"/>
      <c r="F7" s="3"/>
      <c r="G7" s="3"/>
      <c r="H7" s="3"/>
      <c r="I7" s="3"/>
      <c r="J7" s="3"/>
      <c r="K7" s="3"/>
      <c r="L7" s="3"/>
      <c r="M7" s="3"/>
      <c r="N7" s="3"/>
      <c r="O7" s="3"/>
      <c r="P7" s="3"/>
      <c r="Q7" s="3"/>
      <c r="R7" s="3"/>
      <c r="S7" s="3"/>
      <c r="T7" s="3"/>
    </row>
    <row r="8" spans="1:20" x14ac:dyDescent="0.35">
      <c r="A8" s="3"/>
      <c r="B8" s="3"/>
      <c r="C8" s="3"/>
      <c r="D8" s="3"/>
      <c r="E8" s="3"/>
      <c r="F8" s="3"/>
      <c r="G8" s="3"/>
      <c r="H8" s="3"/>
      <c r="I8" s="3"/>
      <c r="J8" s="3"/>
      <c r="K8" s="3"/>
      <c r="L8" s="3"/>
      <c r="M8" s="3"/>
      <c r="N8" s="3"/>
      <c r="O8" s="3"/>
      <c r="P8" s="3"/>
      <c r="Q8" s="3"/>
      <c r="R8" s="3"/>
      <c r="S8" s="3"/>
      <c r="T8" s="3"/>
    </row>
    <row r="9" spans="1:20" x14ac:dyDescent="0.35">
      <c r="A9" s="3"/>
      <c r="B9" s="3"/>
      <c r="C9" s="3"/>
      <c r="D9" s="3"/>
      <c r="E9" s="3"/>
      <c r="F9" s="3"/>
      <c r="G9" s="3"/>
      <c r="H9" s="3"/>
      <c r="I9" s="3"/>
      <c r="J9" s="3"/>
      <c r="K9" s="3"/>
      <c r="L9" s="3"/>
      <c r="M9" s="3"/>
      <c r="N9" s="3"/>
      <c r="O9" s="3"/>
      <c r="P9" s="3"/>
      <c r="Q9" s="3"/>
      <c r="R9" s="3"/>
      <c r="S9" s="3"/>
      <c r="T9" s="3"/>
    </row>
    <row r="10" spans="1:20" x14ac:dyDescent="0.35">
      <c r="A10" s="3"/>
      <c r="B10" s="3"/>
      <c r="C10" s="3"/>
      <c r="D10" s="3"/>
      <c r="E10" s="3"/>
      <c r="F10" s="3"/>
      <c r="G10" s="3"/>
      <c r="H10" s="3"/>
      <c r="I10" s="3"/>
      <c r="J10" s="3"/>
      <c r="K10" s="3"/>
      <c r="L10" s="3"/>
      <c r="M10" s="3"/>
      <c r="N10" s="3"/>
      <c r="O10" s="3"/>
      <c r="P10" s="3"/>
      <c r="Q10" s="3"/>
      <c r="R10" s="3"/>
      <c r="S10" s="3"/>
      <c r="T10" s="3"/>
    </row>
    <row r="11" spans="1:20" x14ac:dyDescent="0.35">
      <c r="A11" s="3"/>
      <c r="B11" s="3"/>
      <c r="C11" s="3"/>
      <c r="D11" s="3"/>
      <c r="E11" s="3"/>
      <c r="F11" s="3"/>
      <c r="G11" s="3"/>
      <c r="H11" s="3"/>
      <c r="I11" s="3"/>
      <c r="J11" s="3"/>
      <c r="K11" s="3"/>
      <c r="L11" s="3"/>
      <c r="M11" s="3"/>
      <c r="N11" s="3"/>
      <c r="O11" s="3"/>
      <c r="P11" s="3"/>
      <c r="Q11" s="3"/>
      <c r="R11" s="3"/>
      <c r="S11" s="3"/>
      <c r="T11" s="3"/>
    </row>
    <row r="12" spans="1:20" x14ac:dyDescent="0.35">
      <c r="A12" s="3"/>
      <c r="B12" s="3"/>
      <c r="C12" s="3"/>
      <c r="D12" s="3"/>
      <c r="E12" s="3"/>
      <c r="F12" s="3"/>
      <c r="G12" s="3"/>
      <c r="H12" s="3"/>
      <c r="I12" s="3"/>
      <c r="J12" s="3"/>
      <c r="K12" s="3"/>
      <c r="L12" s="3"/>
      <c r="M12" s="3"/>
      <c r="N12" s="3"/>
      <c r="O12" s="3"/>
      <c r="P12" s="3"/>
      <c r="Q12" s="3"/>
      <c r="R12" s="3"/>
      <c r="S12" s="3"/>
      <c r="T12" s="3"/>
    </row>
    <row r="13" spans="1:20" x14ac:dyDescent="0.35">
      <c r="A13" s="3"/>
      <c r="B13" s="3"/>
      <c r="C13" s="3"/>
      <c r="D13" s="3"/>
      <c r="E13" s="3"/>
      <c r="F13" s="3"/>
      <c r="G13" s="3"/>
      <c r="H13" s="3"/>
      <c r="I13" s="3"/>
      <c r="J13" s="3"/>
      <c r="K13" s="3"/>
      <c r="L13" s="3"/>
      <c r="M13" s="3"/>
      <c r="N13" s="3"/>
      <c r="O13" s="3"/>
      <c r="P13" s="3"/>
      <c r="Q13" s="3"/>
      <c r="R13" s="3"/>
      <c r="S13" s="3"/>
      <c r="T13" s="3"/>
    </row>
    <row r="14" spans="1:20" x14ac:dyDescent="0.35">
      <c r="A14" s="3"/>
      <c r="B14" s="3"/>
      <c r="C14" s="3"/>
      <c r="D14" s="3"/>
      <c r="E14" s="3"/>
      <c r="F14" s="3"/>
      <c r="G14" s="3"/>
      <c r="H14" s="3"/>
      <c r="I14" s="3"/>
      <c r="J14" s="3"/>
      <c r="K14" s="3"/>
      <c r="L14" s="3"/>
      <c r="M14" s="3"/>
      <c r="N14" s="3"/>
      <c r="O14" s="3"/>
      <c r="P14" s="3"/>
      <c r="Q14" s="3"/>
      <c r="R14" s="3"/>
      <c r="S14" s="3"/>
      <c r="T14" s="3"/>
    </row>
    <row r="15" spans="1:20" x14ac:dyDescent="0.35">
      <c r="A15" s="3"/>
      <c r="B15" s="3"/>
      <c r="C15" s="3"/>
      <c r="D15" s="3"/>
      <c r="E15" s="3"/>
      <c r="F15" s="3"/>
      <c r="G15" s="3"/>
      <c r="H15" s="3"/>
      <c r="I15" s="3"/>
      <c r="J15" s="3"/>
      <c r="K15" s="3"/>
      <c r="L15" s="3"/>
      <c r="M15" s="3"/>
      <c r="N15" s="3"/>
      <c r="O15" s="3"/>
      <c r="P15" s="3"/>
      <c r="Q15" s="3"/>
      <c r="R15" s="3"/>
      <c r="S15" s="3"/>
      <c r="T15" s="3"/>
    </row>
    <row r="16" spans="1:20" x14ac:dyDescent="0.35">
      <c r="A16" s="3"/>
      <c r="B16" s="3"/>
      <c r="C16" s="3"/>
      <c r="D16" s="3"/>
      <c r="E16" s="3"/>
      <c r="F16" s="3"/>
      <c r="G16" s="3"/>
      <c r="H16" s="3"/>
      <c r="I16" s="3"/>
      <c r="J16" s="3"/>
      <c r="K16" s="3"/>
      <c r="L16" s="3"/>
      <c r="M16" s="3"/>
      <c r="N16" s="3"/>
      <c r="O16" s="3"/>
      <c r="P16" s="3"/>
      <c r="Q16" s="3"/>
      <c r="R16" s="3"/>
      <c r="S16" s="3"/>
      <c r="T16" s="3"/>
    </row>
    <row r="17" spans="1:20" x14ac:dyDescent="0.35">
      <c r="A17" s="3"/>
      <c r="B17" s="3"/>
      <c r="C17" s="3"/>
      <c r="D17" s="3"/>
      <c r="E17" s="3"/>
      <c r="F17" s="3"/>
      <c r="G17" s="3"/>
      <c r="H17" s="3"/>
      <c r="I17" s="3"/>
      <c r="J17" s="3"/>
      <c r="K17" s="3"/>
      <c r="L17" s="3"/>
      <c r="M17" s="3"/>
      <c r="N17" s="3"/>
      <c r="O17" s="3"/>
      <c r="P17" s="3"/>
      <c r="Q17" s="3"/>
      <c r="R17" s="3"/>
      <c r="S17" s="3"/>
      <c r="T17" s="3"/>
    </row>
    <row r="18" spans="1:20" x14ac:dyDescent="0.35">
      <c r="A18" s="3"/>
      <c r="B18" s="3"/>
      <c r="C18" s="3"/>
      <c r="D18" s="3"/>
      <c r="E18" s="3"/>
      <c r="F18" s="3"/>
      <c r="G18" s="3"/>
      <c r="H18" s="3"/>
      <c r="I18" s="3"/>
      <c r="J18" s="3"/>
      <c r="K18" s="3"/>
      <c r="L18" s="3"/>
      <c r="M18" s="3"/>
      <c r="N18" s="3"/>
      <c r="O18" s="3"/>
      <c r="P18" s="3"/>
      <c r="Q18" s="3"/>
      <c r="R18" s="3"/>
      <c r="S18" s="3"/>
      <c r="T18" s="3"/>
    </row>
    <row r="19" spans="1:20" x14ac:dyDescent="0.35">
      <c r="A19" s="3"/>
      <c r="B19" s="3"/>
      <c r="C19" s="3"/>
      <c r="D19" s="3"/>
      <c r="E19" s="3"/>
      <c r="F19" s="3"/>
      <c r="G19" s="3"/>
      <c r="H19" s="3"/>
      <c r="I19" s="3"/>
      <c r="J19" s="3"/>
      <c r="K19" s="3"/>
      <c r="L19" s="3"/>
      <c r="M19" s="3"/>
      <c r="N19" s="3"/>
      <c r="O19" s="3"/>
      <c r="P19" s="3"/>
      <c r="Q19" s="3"/>
      <c r="R19" s="3"/>
      <c r="S19" s="3"/>
      <c r="T19" s="3"/>
    </row>
    <row r="20" spans="1:20" x14ac:dyDescent="0.35">
      <c r="A20" s="3"/>
      <c r="B20" s="3"/>
      <c r="C20" s="3"/>
      <c r="D20" s="3"/>
      <c r="E20" s="3"/>
      <c r="F20" s="3"/>
      <c r="G20" s="3"/>
      <c r="H20" s="3"/>
      <c r="I20" s="3"/>
      <c r="J20" s="3"/>
      <c r="K20" s="3"/>
      <c r="L20" s="3"/>
      <c r="M20" s="3"/>
      <c r="N20" s="3"/>
      <c r="O20" s="3"/>
      <c r="P20" s="3"/>
      <c r="Q20" s="3"/>
      <c r="R20" s="3"/>
      <c r="S20" s="3"/>
      <c r="T20" s="3"/>
    </row>
  </sheetData>
  <hyperlinks>
    <hyperlink ref="A1" location="'Daily ER Number of Patient'!A1" display="'Daily ER Number of Patient'!A1" xr:uid="{6DF973E8-D279-430D-B420-C6B1DDCA2156}"/>
  </hyperlink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8773-8855-41FE-9D9D-5347E3CA3EE4}">
  <dimension ref="B14:Q14"/>
  <sheetViews>
    <sheetView workbookViewId="0"/>
  </sheetViews>
  <sheetFormatPr defaultRowHeight="14.5" x14ac:dyDescent="0.35"/>
  <sheetData>
    <row r="14" spans="2:17" x14ac:dyDescent="0.35">
      <c r="B14" s="10" t="s">
        <v>293</v>
      </c>
      <c r="C14" s="10"/>
      <c r="D14" s="10"/>
      <c r="I14" s="10" t="s">
        <v>5</v>
      </c>
      <c r="J14" s="11"/>
      <c r="K14" s="11"/>
      <c r="N14" s="10" t="s">
        <v>295</v>
      </c>
      <c r="O14" s="10"/>
      <c r="P14" s="10"/>
      <c r="Q14" s="10"/>
    </row>
  </sheetData>
  <mergeCells count="3">
    <mergeCell ref="B14:D14"/>
    <mergeCell ref="I14:K14"/>
    <mergeCell ref="N14:Q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0C5277B-7EC8-444D-9ED5-43E48EEDFCF4}">
  <ds:schemaRefs/>
</ds:datastoreItem>
</file>

<file path=customXml/itemProps2.xml><?xml version="1.0" encoding="utf-8"?>
<ds:datastoreItem xmlns:ds="http://schemas.openxmlformats.org/officeDocument/2006/customXml" ds:itemID="{938A32C5-4203-43B8-979C-1464F9067033}">
  <ds:schemaRefs/>
</ds:datastoreItem>
</file>

<file path=customXml/itemProps3.xml><?xml version="1.0" encoding="utf-8"?>
<ds:datastoreItem xmlns:ds="http://schemas.openxmlformats.org/officeDocument/2006/customXml" ds:itemID="{AE379FE6-02EF-49D0-ADBB-EE2360A11ADF}">
  <ds:schemaRefs/>
</ds:datastoreItem>
</file>

<file path=customXml/itemProps4.xml><?xml version="1.0" encoding="utf-8"?>
<ds:datastoreItem xmlns:ds="http://schemas.openxmlformats.org/officeDocument/2006/customXml" ds:itemID="{60989113-E544-4FF6-9B79-6C31DDEABE08}">
  <ds:schemaRefs/>
</ds:datastoreItem>
</file>

<file path=customXml/itemProps5.xml><?xml version="1.0" encoding="utf-8"?>
<ds:datastoreItem xmlns:ds="http://schemas.openxmlformats.org/officeDocument/2006/customXml" ds:itemID="{3063E719-05E9-4D8F-9EF7-1978B3D2C72F}">
  <ds:schemaRefs>
    <ds:schemaRef ds:uri="http://schemas.microsoft.com/DataMashup"/>
  </ds:schemaRefs>
</ds:datastoreItem>
</file>

<file path=customXml/itemProps6.xml><?xml version="1.0" encoding="utf-8"?>
<ds:datastoreItem xmlns:ds="http://schemas.openxmlformats.org/officeDocument/2006/customXml" ds:itemID="{3A3F7496-797D-4857-9841-8C070E313C0F}">
  <ds:schemaRefs/>
</ds:datastoreItem>
</file>

<file path=customXml/itemProps7.xml><?xml version="1.0" encoding="utf-8"?>
<ds:datastoreItem xmlns:ds="http://schemas.openxmlformats.org/officeDocument/2006/customXml" ds:itemID="{D0B01C79-3F52-4743-8903-B96F97F59DA4}">
  <ds:schemaRefs/>
</ds:datastoreItem>
</file>

<file path=customXml/itemProps8.xml><?xml version="1.0" encoding="utf-8"?>
<ds:datastoreItem xmlns:ds="http://schemas.openxmlformats.org/officeDocument/2006/customXml" ds:itemID="{08E8CD63-C344-4339-81DE-4306C73E1D00}">
  <ds:schemaRefs/>
</ds:datastoreItem>
</file>

<file path=customXml/itemProps9.xml><?xml version="1.0" encoding="utf-8"?>
<ds:datastoreItem xmlns:ds="http://schemas.openxmlformats.org/officeDocument/2006/customXml" ds:itemID="{9F967E04-8CC6-49DF-8737-67080E71B154}">
  <ds:schemaRefs/>
</ds:datastoreItem>
</file>

<file path=customXml/itemProps10.xml><?xml version="1.0" encoding="utf-8"?>
<ds:datastoreItem xmlns:ds="http://schemas.openxmlformats.org/officeDocument/2006/customXml" ds:itemID="{66999201-BECD-4E09-A1A6-41A76797EB0B}">
  <ds:schemaRefs/>
</ds:datastoreItem>
</file>

<file path=customXml/itemProps11.xml><?xml version="1.0" encoding="utf-8"?>
<ds:datastoreItem xmlns:ds="http://schemas.openxmlformats.org/officeDocument/2006/customXml" ds:itemID="{77BF10BA-46C6-4F0B-ABAC-8ACA8FE104DA}">
  <ds:schemaRefs/>
</ds:datastoreItem>
</file>

<file path=customXml/itemProps12.xml><?xml version="1.0" encoding="utf-8"?>
<ds:datastoreItem xmlns:ds="http://schemas.openxmlformats.org/officeDocument/2006/customXml" ds:itemID="{580AFAA0-12C4-4135-8B56-EAAC768F213B}">
  <ds:schemaRefs/>
</ds:datastoreItem>
</file>

<file path=customXml/itemProps13.xml><?xml version="1.0" encoding="utf-8"?>
<ds:datastoreItem xmlns:ds="http://schemas.openxmlformats.org/officeDocument/2006/customXml" ds:itemID="{60914395-9645-4C26-8B01-6FE2DFB94F80}">
  <ds:schemaRefs/>
</ds:datastoreItem>
</file>

<file path=customXml/itemProps14.xml><?xml version="1.0" encoding="utf-8"?>
<ds:datastoreItem xmlns:ds="http://schemas.openxmlformats.org/officeDocument/2006/customXml" ds:itemID="{E236797F-2FC6-43AF-AE6C-50BCCF7DE8FB}">
  <ds:schemaRefs/>
</ds:datastoreItem>
</file>

<file path=customXml/itemProps15.xml><?xml version="1.0" encoding="utf-8"?>
<ds:datastoreItem xmlns:ds="http://schemas.openxmlformats.org/officeDocument/2006/customXml" ds:itemID="{E919B02A-5C34-412B-A32A-A913CAEA2E5A}">
  <ds:schemaRefs/>
</ds:datastoreItem>
</file>

<file path=customXml/itemProps16.xml><?xml version="1.0" encoding="utf-8"?>
<ds:datastoreItem xmlns:ds="http://schemas.openxmlformats.org/officeDocument/2006/customXml" ds:itemID="{7A8083BC-0B37-40D6-81D7-F6F065E75F02}">
  <ds:schemaRefs/>
</ds:datastoreItem>
</file>

<file path=customXml/itemProps17.xml><?xml version="1.0" encoding="utf-8"?>
<ds:datastoreItem xmlns:ds="http://schemas.openxmlformats.org/officeDocument/2006/customXml" ds:itemID="{3722F31A-C655-44F3-B470-80FC6C589675}">
  <ds:schemaRefs/>
</ds:datastoreItem>
</file>

<file path=customXml/itemProps18.xml><?xml version="1.0" encoding="utf-8"?>
<ds:datastoreItem xmlns:ds="http://schemas.openxmlformats.org/officeDocument/2006/customXml" ds:itemID="{9A4BC22A-53F9-4DB7-AF7E-9244BFCF58F1}">
  <ds:schemaRefs/>
</ds:datastoreItem>
</file>

<file path=customXml/itemProps19.xml><?xml version="1.0" encoding="utf-8"?>
<ds:datastoreItem xmlns:ds="http://schemas.openxmlformats.org/officeDocument/2006/customXml" ds:itemID="{61AD9645-4ABF-434F-85B3-8FC50D70FA11}">
  <ds:schemaRefs/>
</ds:datastoreItem>
</file>

<file path=customXml/itemProps20.xml><?xml version="1.0" encoding="utf-8"?>
<ds:datastoreItem xmlns:ds="http://schemas.openxmlformats.org/officeDocument/2006/customXml" ds:itemID="{4043B55B-53C6-4FD1-9204-D8637BD907C4}">
  <ds:schemaRefs/>
</ds:datastoreItem>
</file>

<file path=customXml/itemProps21.xml><?xml version="1.0" encoding="utf-8"?>
<ds:datastoreItem xmlns:ds="http://schemas.openxmlformats.org/officeDocument/2006/customXml" ds:itemID="{8FE37C6E-495C-469B-B26B-40642706563B}">
  <ds:schemaRefs/>
</ds:datastoreItem>
</file>

<file path=customXml/itemProps22.xml><?xml version="1.0" encoding="utf-8"?>
<ds:datastoreItem xmlns:ds="http://schemas.openxmlformats.org/officeDocument/2006/customXml" ds:itemID="{0931F732-1598-45E6-A520-87372CC3CF8F}">
  <ds:schemaRefs/>
</ds:datastoreItem>
</file>

<file path=customXml/itemProps23.xml><?xml version="1.0" encoding="utf-8"?>
<ds:datastoreItem xmlns:ds="http://schemas.openxmlformats.org/officeDocument/2006/customXml" ds:itemID="{F34D6614-478C-4DA4-B545-96C29884136E}">
  <ds:schemaRefs/>
</ds:datastoreItem>
</file>

<file path=customXml/itemProps24.xml><?xml version="1.0" encoding="utf-8"?>
<ds:datastoreItem xmlns:ds="http://schemas.openxmlformats.org/officeDocument/2006/customXml" ds:itemID="{AF9F8AD4-9BDC-4B66-8D43-EEC1D9AD3BD1}">
  <ds:schemaRefs/>
</ds:datastoreItem>
</file>

<file path=customXml/itemProps25.xml><?xml version="1.0" encoding="utf-8"?>
<ds:datastoreItem xmlns:ds="http://schemas.openxmlformats.org/officeDocument/2006/customXml" ds:itemID="{F40A02BC-E8D9-4DF1-BB29-F6675AE34B1C}">
  <ds:schemaRefs/>
</ds:datastoreItem>
</file>

<file path=customXml/itemProps26.xml><?xml version="1.0" encoding="utf-8"?>
<ds:datastoreItem xmlns:ds="http://schemas.openxmlformats.org/officeDocument/2006/customXml" ds:itemID="{00D8CFFA-01A5-4F7F-906F-2E874D621F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Daily Emr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 gupta</dc:creator>
  <cp:lastModifiedBy>Ajit gupta</cp:lastModifiedBy>
  <dcterms:created xsi:type="dcterms:W3CDTF">2025-12-07T04:05:23Z</dcterms:created>
  <dcterms:modified xsi:type="dcterms:W3CDTF">2025-12-09T06:30:12Z</dcterms:modified>
</cp:coreProperties>
</file>